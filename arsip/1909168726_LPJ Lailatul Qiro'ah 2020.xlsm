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/>
  <bookViews>
    <workbookView xWindow="0" yWindow="6285" windowWidth="9720" windowHeight="2760" tabRatio="853"/>
  </bookViews>
  <sheets>
    <sheet name="Sheet1" sheetId="30" r:id="rId1"/>
    <sheet name="Lap.Pemb." sheetId="25" r:id="rId2"/>
    <sheet name="Sheet2" sheetId="31" r:id="rId3"/>
  </sheets>
  <definedNames>
    <definedName name="_xlnm.Print_Area" localSheetId="1">Lap.Pemb.!$A$1:$M$31</definedName>
    <definedName name="_xlnm.Print_Area" localSheetId="0">Sheet1!$A$1:$J$44</definedName>
    <definedName name="_xlnm.Print_Area" localSheetId="2">Sheet2!$A$1:$G$29</definedName>
  </definedNames>
  <calcPr calcId="144525"/>
</workbook>
</file>

<file path=xl/calcChain.xml><?xml version="1.0" encoding="utf-8"?>
<calcChain xmlns="http://schemas.openxmlformats.org/spreadsheetml/2006/main">
  <c r="L10" i="25" l="1"/>
  <c r="L9" i="25" l="1"/>
  <c r="L16" i="25" l="1"/>
  <c r="L11" i="25"/>
  <c r="L14" i="25"/>
  <c r="L15" i="25"/>
  <c r="L12" i="25"/>
  <c r="L13" i="25"/>
  <c r="K107" i="25"/>
  <c r="J107" i="25"/>
  <c r="I107" i="25"/>
  <c r="H107" i="25"/>
  <c r="G107" i="25"/>
  <c r="F107" i="25"/>
  <c r="L106" i="25"/>
  <c r="L105" i="25"/>
  <c r="L104" i="25"/>
  <c r="L103" i="25"/>
  <c r="L102" i="25"/>
  <c r="L101" i="25"/>
  <c r="L100" i="25"/>
  <c r="L99" i="25"/>
  <c r="L98" i="25"/>
  <c r="L97" i="25"/>
  <c r="L96" i="25"/>
  <c r="L95" i="25"/>
  <c r="L94" i="25"/>
  <c r="L93" i="25"/>
  <c r="L92" i="25"/>
  <c r="L91" i="25"/>
  <c r="L90" i="25"/>
  <c r="L89" i="25"/>
  <c r="L88" i="25"/>
  <c r="L87" i="25"/>
  <c r="L86" i="25"/>
  <c r="L85" i="25"/>
  <c r="L84" i="25"/>
  <c r="L83" i="25"/>
  <c r="L82" i="25"/>
  <c r="L81" i="25"/>
  <c r="L80" i="25"/>
  <c r="L79" i="25"/>
  <c r="L78" i="25"/>
  <c r="L77" i="25"/>
  <c r="L76" i="25"/>
  <c r="L75" i="25"/>
  <c r="L74" i="25"/>
  <c r="L73" i="25"/>
  <c r="L72" i="25"/>
  <c r="L71" i="25"/>
  <c r="L70" i="25"/>
  <c r="L69" i="25"/>
  <c r="L68" i="25"/>
  <c r="L67" i="25"/>
  <c r="L66" i="25"/>
  <c r="L65" i="25"/>
  <c r="L64" i="25"/>
  <c r="L63" i="25"/>
  <c r="L62" i="25"/>
  <c r="L61" i="25"/>
  <c r="L60" i="25"/>
  <c r="L59" i="25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42" i="25"/>
  <c r="L40" i="25"/>
  <c r="L39" i="25"/>
  <c r="L38" i="25"/>
  <c r="L37" i="25"/>
  <c r="L36" i="25"/>
  <c r="L35" i="25"/>
  <c r="L34" i="25"/>
  <c r="M33" i="25"/>
  <c r="M8" i="25"/>
  <c r="M9" i="25" s="1"/>
  <c r="M10" i="25" l="1"/>
  <c r="M11" i="25" s="1"/>
  <c r="M12" i="25" s="1"/>
  <c r="M13" i="25" s="1"/>
  <c r="M14" i="25" s="1"/>
  <c r="M15" i="25" s="1"/>
  <c r="M16" i="25" s="1"/>
  <c r="M34" i="25"/>
  <c r="M35" i="25" s="1"/>
  <c r="M36" i="25" s="1"/>
  <c r="M37" i="25" s="1"/>
  <c r="M38" i="25" s="1"/>
  <c r="M39" i="25" s="1"/>
  <c r="M40" i="25" s="1"/>
  <c r="M41" i="25" s="1"/>
  <c r="M42" i="25" s="1"/>
  <c r="M43" i="25" s="1"/>
  <c r="M44" i="25" s="1"/>
  <c r="M45" i="25" s="1"/>
  <c r="M46" i="25" s="1"/>
  <c r="M47" i="25" s="1"/>
  <c r="M48" i="25" s="1"/>
  <c r="M49" i="25" s="1"/>
  <c r="M50" i="25" s="1"/>
  <c r="M51" i="25" s="1"/>
  <c r="M52" i="25" s="1"/>
  <c r="M53" i="25" s="1"/>
  <c r="M54" i="25" s="1"/>
  <c r="M55" i="25" s="1"/>
  <c r="M56" i="25" s="1"/>
  <c r="M57" i="25" s="1"/>
  <c r="M58" i="25" s="1"/>
  <c r="M59" i="25" s="1"/>
  <c r="M60" i="25" s="1"/>
  <c r="M61" i="25" s="1"/>
  <c r="M62" i="25" s="1"/>
  <c r="M63" i="25" s="1"/>
  <c r="M64" i="25" s="1"/>
  <c r="M65" i="25" s="1"/>
  <c r="M66" i="25" s="1"/>
  <c r="M67" i="25" s="1"/>
  <c r="M68" i="25" s="1"/>
  <c r="M69" i="25" s="1"/>
  <c r="M70" i="25" s="1"/>
  <c r="M71" i="25" s="1"/>
  <c r="M72" i="25" s="1"/>
  <c r="M73" i="25" s="1"/>
  <c r="M74" i="25" s="1"/>
  <c r="M75" i="25" s="1"/>
  <c r="M76" i="25" s="1"/>
  <c r="M77" i="25" s="1"/>
  <c r="M78" i="25" s="1"/>
  <c r="M79" i="25" s="1"/>
  <c r="M80" i="25" s="1"/>
  <c r="M81" i="25" s="1"/>
  <c r="M82" i="25" s="1"/>
  <c r="M83" i="25" s="1"/>
  <c r="M84" i="25" s="1"/>
  <c r="M85" i="25" s="1"/>
  <c r="M86" i="25" s="1"/>
  <c r="M87" i="25" s="1"/>
  <c r="M88" i="25" s="1"/>
  <c r="M89" i="25" s="1"/>
  <c r="M90" i="25" s="1"/>
  <c r="M91" i="25" s="1"/>
  <c r="M92" i="25" s="1"/>
  <c r="M93" i="25" s="1"/>
  <c r="M94" i="25" s="1"/>
  <c r="M95" i="25" s="1"/>
  <c r="M96" i="25" s="1"/>
  <c r="M97" i="25" s="1"/>
  <c r="M98" i="25" s="1"/>
  <c r="M99" i="25" s="1"/>
  <c r="M100" i="25" s="1"/>
  <c r="M101" i="25" s="1"/>
  <c r="M102" i="25" s="1"/>
  <c r="M103" i="25" s="1"/>
  <c r="M104" i="25" s="1"/>
  <c r="M105" i="25" s="1"/>
  <c r="M106" i="25" s="1"/>
  <c r="L107" i="25"/>
  <c r="M107" i="25" s="1"/>
  <c r="G7" i="31"/>
  <c r="G8" i="31"/>
  <c r="G9" i="31"/>
  <c r="G10" i="31"/>
  <c r="G11" i="31"/>
  <c r="G12" i="31"/>
  <c r="G13" i="31"/>
  <c r="G14" i="31"/>
  <c r="G15" i="31"/>
  <c r="G16" i="31"/>
  <c r="K19" i="25"/>
  <c r="H27" i="30" s="1"/>
  <c r="J19" i="25"/>
  <c r="H26" i="30" s="1"/>
  <c r="I19" i="25"/>
  <c r="H25" i="30" s="1"/>
  <c r="H19" i="25"/>
  <c r="H24" i="30" s="1"/>
  <c r="G19" i="25"/>
  <c r="H23" i="30" s="1"/>
  <c r="F19" i="25"/>
  <c r="H19" i="30" s="1"/>
  <c r="H31" i="30" s="1"/>
  <c r="H29" i="30" l="1"/>
  <c r="H30" i="30" s="1"/>
  <c r="L18" i="25"/>
  <c r="L19" i="25" s="1"/>
  <c r="M19" i="25" s="1"/>
  <c r="G17" i="31"/>
</calcChain>
</file>

<file path=xl/sharedStrings.xml><?xml version="1.0" encoding="utf-8"?>
<sst xmlns="http://schemas.openxmlformats.org/spreadsheetml/2006/main" count="257" uniqueCount="199">
  <si>
    <t>NO</t>
  </si>
  <si>
    <t>K</t>
  </si>
  <si>
    <t>TGL</t>
  </si>
  <si>
    <t>URAIAN</t>
  </si>
  <si>
    <t>NB</t>
  </si>
  <si>
    <t>SALDO</t>
  </si>
  <si>
    <t>Rp.</t>
  </si>
  <si>
    <t>LAPORAN KEUANGAN</t>
  </si>
  <si>
    <t>Trasp</t>
  </si>
  <si>
    <t>Adm.</t>
  </si>
  <si>
    <t>Kons</t>
  </si>
  <si>
    <t>Lain-lain</t>
  </si>
  <si>
    <t>Debet</t>
  </si>
  <si>
    <t>M</t>
  </si>
  <si>
    <t>JUMLAH &gt;&gt;&gt;</t>
  </si>
  <si>
    <t>Jumlah</t>
  </si>
  <si>
    <t>Barokah</t>
  </si>
  <si>
    <t xml:space="preserve">RINCIAN PENGELUARAN </t>
  </si>
  <si>
    <t>Hasana, S. HI.</t>
  </si>
  <si>
    <t>BANYUPUTIH SITUBONDO JAWA TIMUR</t>
  </si>
  <si>
    <t>JL. KHR. SYAMSUL ARIFIN  PO. BOX 2 Telp. (0338) 452666, Fax 452707 Kp. 68374 salsyaf sukorejo</t>
  </si>
  <si>
    <t>Nomor</t>
  </si>
  <si>
    <t>Lamp.</t>
  </si>
  <si>
    <t>: 1 Bendel</t>
  </si>
  <si>
    <t>H a l</t>
  </si>
  <si>
    <t>Yang Terhormat</t>
  </si>
  <si>
    <t>Assalamu'alaikum War. Wab.</t>
  </si>
  <si>
    <t>Saldo Kas Bulan Sebelumnya</t>
  </si>
  <si>
    <t>Jumlah Diterima</t>
  </si>
  <si>
    <t>Wassalamu'alaikum War. Wab.</t>
  </si>
  <si>
    <t>Tembusan disampaikan kepada Yth.</t>
  </si>
  <si>
    <t>Pemasukan</t>
  </si>
  <si>
    <t>Pengeluaran</t>
  </si>
  <si>
    <t>1.   Administrasi</t>
  </si>
  <si>
    <t xml:space="preserve">2.   Transport </t>
  </si>
  <si>
    <t>3.   Konsumsi</t>
  </si>
  <si>
    <t>5.   Lain-lain</t>
  </si>
  <si>
    <t>Jumlah Kredit</t>
  </si>
  <si>
    <t>Demikian laporan kami, atas perhatiaannya disampaikan terima kasih.</t>
  </si>
  <si>
    <t>Bendahara,</t>
  </si>
  <si>
    <t>Terima dari Bendahara</t>
  </si>
  <si>
    <t>M.01</t>
  </si>
  <si>
    <t>K.01</t>
  </si>
  <si>
    <t>K.02</t>
  </si>
  <si>
    <t>K.03</t>
  </si>
  <si>
    <t>K.04</t>
  </si>
  <si>
    <t>K.05</t>
  </si>
  <si>
    <t>K.06</t>
  </si>
  <si>
    <t>K.07</t>
  </si>
  <si>
    <t>K.09</t>
  </si>
  <si>
    <t>K.10</t>
  </si>
  <si>
    <t>K.11</t>
  </si>
  <si>
    <t>K.12</t>
  </si>
  <si>
    <t>K.13</t>
  </si>
  <si>
    <t>K.14</t>
  </si>
  <si>
    <t>K.15</t>
  </si>
  <si>
    <t>K.16</t>
  </si>
  <si>
    <t>K.17</t>
  </si>
  <si>
    <t>K.18</t>
  </si>
  <si>
    <t>K.19</t>
  </si>
  <si>
    <t>K.20</t>
  </si>
  <si>
    <t>K.23</t>
  </si>
  <si>
    <t>K.24</t>
  </si>
  <si>
    <t>K.25</t>
  </si>
  <si>
    <t>K.26</t>
  </si>
  <si>
    <t>K.27</t>
  </si>
  <si>
    <t>K.28</t>
  </si>
  <si>
    <t>K.29</t>
  </si>
  <si>
    <t>K.30</t>
  </si>
  <si>
    <t>K.31</t>
  </si>
  <si>
    <t>K.32</t>
  </si>
  <si>
    <t>K.33</t>
  </si>
  <si>
    <t>K.34</t>
  </si>
  <si>
    <t>K.35</t>
  </si>
  <si>
    <t>K.36</t>
  </si>
  <si>
    <t>K.37</t>
  </si>
  <si>
    <t>K.38</t>
  </si>
  <si>
    <t>K.39</t>
  </si>
  <si>
    <t>K.40</t>
  </si>
  <si>
    <t>K.41</t>
  </si>
  <si>
    <t>K.42</t>
  </si>
  <si>
    <t>K.44</t>
  </si>
  <si>
    <t>K.45</t>
  </si>
  <si>
    <t>K.46</t>
  </si>
  <si>
    <t>K.47</t>
  </si>
  <si>
    <t>K.48</t>
  </si>
  <si>
    <t>K.49</t>
  </si>
  <si>
    <t>K.50</t>
  </si>
  <si>
    <t>K.51</t>
  </si>
  <si>
    <t>K.52</t>
  </si>
  <si>
    <t>K.53</t>
  </si>
  <si>
    <t>K.54</t>
  </si>
  <si>
    <t>K.55</t>
  </si>
  <si>
    <t>K.56</t>
  </si>
  <si>
    <t>K.57</t>
  </si>
  <si>
    <t>K.58</t>
  </si>
  <si>
    <t>K.59</t>
  </si>
  <si>
    <t>K.60</t>
  </si>
  <si>
    <t>K.61</t>
  </si>
  <si>
    <t>K.62</t>
  </si>
  <si>
    <t>K.63</t>
  </si>
  <si>
    <t>K.64</t>
  </si>
  <si>
    <t>K.65</t>
  </si>
  <si>
    <t>K.66</t>
  </si>
  <si>
    <t>K.67</t>
  </si>
  <si>
    <t>K.68</t>
  </si>
  <si>
    <t>K.69</t>
  </si>
  <si>
    <t>K.70</t>
  </si>
  <si>
    <t>K.71</t>
  </si>
  <si>
    <t>Ketua Panitia,</t>
  </si>
  <si>
    <t>Kasubag. JQK,</t>
  </si>
  <si>
    <t xml:space="preserve">Mengetahui </t>
  </si>
  <si>
    <t>JAM’IYATUL QURRO’ WAL KHOTTOTIN &amp; QIRO’ATUNA PUTRA</t>
  </si>
  <si>
    <t>Bendahara P2 S2</t>
  </si>
  <si>
    <t>di Sukorejo Situbondo</t>
  </si>
  <si>
    <t>Ketua JQK,</t>
  </si>
  <si>
    <t>BAROKAH DEWAN HAKIM</t>
  </si>
  <si>
    <t>PONPES SALAFIYAH SYAFI'IYAH SUKOREJO SUMBEREJO BANYUPUTIH SITUBONDO</t>
  </si>
  <si>
    <t>CABANG LOMBA</t>
  </si>
  <si>
    <t>JURI</t>
  </si>
  <si>
    <t>TTM</t>
  </si>
  <si>
    <t>NOMINAL</t>
  </si>
  <si>
    <t>JUMLAH</t>
  </si>
  <si>
    <t>Tartil</t>
  </si>
  <si>
    <t>MTQ Anak-anak</t>
  </si>
  <si>
    <t>MTQ Antar Iksass</t>
  </si>
  <si>
    <t>MTQ Remaja</t>
  </si>
  <si>
    <t>MTQ Dewasa</t>
  </si>
  <si>
    <t xml:space="preserve">MHQ </t>
  </si>
  <si>
    <t>MKQ</t>
  </si>
  <si>
    <t xml:space="preserve">Final </t>
  </si>
  <si>
    <t>4.   Barokah Dewan Hakim</t>
  </si>
  <si>
    <t>TRANSPORT</t>
  </si>
  <si>
    <t xml:space="preserve"> PONDOK PESANTREN SALAFIYAH SYAFI’IYAH SUKOREJO</t>
  </si>
  <si>
    <t xml:space="preserve"> </t>
  </si>
  <si>
    <t xml:space="preserve">  </t>
  </si>
  <si>
    <t>FC</t>
  </si>
  <si>
    <t>K.72</t>
  </si>
  <si>
    <t>K.73</t>
  </si>
  <si>
    <t>K.74</t>
  </si>
  <si>
    <t>PANITIA MUSABAQAH TILAWATIL QUR'AN</t>
  </si>
  <si>
    <t>TAHUN 2018</t>
  </si>
  <si>
    <t>MEMPERINGATI MALAM IMTIHAN &amp; HUT KE- 104</t>
  </si>
  <si>
    <t>Beli Kertas Manila</t>
  </si>
  <si>
    <t>Kons .Panitia</t>
  </si>
  <si>
    <t>Beli Binder Clip</t>
  </si>
  <si>
    <t>Beli Kertas F4</t>
  </si>
  <si>
    <t>Beli Kripik</t>
  </si>
  <si>
    <t>Beli Toples</t>
  </si>
  <si>
    <t>Tranportasi</t>
  </si>
  <si>
    <t>Koons( Diki)</t>
  </si>
  <si>
    <t>Beli Cet</t>
  </si>
  <si>
    <t>Gorengan</t>
  </si>
  <si>
    <t>Kons (Diki)</t>
  </si>
  <si>
    <t>Beli Air</t>
  </si>
  <si>
    <t>Mie Sedap</t>
  </si>
  <si>
    <t>Beli Kantong Plastik</t>
  </si>
  <si>
    <t>Kons Panitia</t>
  </si>
  <si>
    <t>Kons. Panitia</t>
  </si>
  <si>
    <t>Print / FC</t>
  </si>
  <si>
    <t>Beli Energen / Kripik</t>
  </si>
  <si>
    <t>Uang Barokah Ust GUFRON</t>
  </si>
  <si>
    <t>Beli Mie/ Air</t>
  </si>
  <si>
    <t>Beli Kons MHQ</t>
  </si>
  <si>
    <t>Beli Kacang</t>
  </si>
  <si>
    <t>Beli gorengan</t>
  </si>
  <si>
    <t>Beli Kokat</t>
  </si>
  <si>
    <t>Beli Finalis</t>
  </si>
  <si>
    <t>Beli Kawat</t>
  </si>
  <si>
    <t>Beli Penjepit</t>
  </si>
  <si>
    <t xml:space="preserve">Print </t>
  </si>
  <si>
    <t>Prin Stiker</t>
  </si>
  <si>
    <t>Barokah Dewan Hakim</t>
  </si>
  <si>
    <t>Imamuddin Za</t>
  </si>
  <si>
    <t>Ahmad Muzanni</t>
  </si>
  <si>
    <t>Sukorejo, 25 April 2018</t>
  </si>
  <si>
    <t>MSQ</t>
  </si>
  <si>
    <t>MTQ DALAM RANGKA PERAYAAN MALAM IMTIHAN</t>
  </si>
  <si>
    <t>Muzanni</t>
  </si>
  <si>
    <t>Imaduddin</t>
  </si>
  <si>
    <t>Barokah Qori'</t>
  </si>
  <si>
    <t xml:space="preserve">Sewa Sond Syistem </t>
  </si>
  <si>
    <t>S3TV</t>
  </si>
  <si>
    <t>Beli Sorban untuk Penyematan</t>
  </si>
  <si>
    <t>Konsumsi Rapat Panitia</t>
  </si>
  <si>
    <t>Konsumsi Kerja Panitia</t>
  </si>
  <si>
    <t>Konsumsi Pembubaran Panitia</t>
  </si>
  <si>
    <t>: Lailatul Qiro'ah</t>
  </si>
  <si>
    <t>Tahun 2020</t>
  </si>
  <si>
    <t>K.08</t>
  </si>
  <si>
    <t>Cetak Beener</t>
  </si>
  <si>
    <t>TAHUN 2020</t>
  </si>
  <si>
    <t xml:space="preserve">HAFLAH LAILATUL QIRO'AH </t>
  </si>
  <si>
    <t>DALAM RANGKA HAUL MAJEMUK MASYAYIKH PENDIRI DAN PENGASUH P2 S2</t>
  </si>
  <si>
    <t>Sukorejo, 28 Nopember 2021</t>
  </si>
  <si>
    <t>1. Kabid. Pendidikan P2 S2</t>
  </si>
  <si>
    <t>2. BPK2M P2 S2</t>
  </si>
  <si>
    <t xml:space="preserve">Disampaikan dengan hormat. Dengan ini kami laporkan biaya penggunaan keuangan Lailatul Qiro'ah Pon Pes Salafiyah Syafi'iyah Sukorejo tahun 2020 dengan menghabiskan biaya sebesar 2.820.000,- (Dua juta delapan ratus dua puluh ribu rupiah), dengan rincian sebagai berikut : </t>
  </si>
  <si>
    <t>: 0828/….../C.4b/LQ,Haul/XI/2021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</si>
</sst>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[$Rp-421]* #,##0_);_([$Rp-421]* \(#,##0\);_([$Rp-421]* &quot;-&quot;_);_(@_)"/>
  </numFmts>
  <fonts count="21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11"/>
      <name val="Tahoma"/>
      <family val="2"/>
    </font>
    <font>
      <b/>
      <sz val="11"/>
      <name val="Tahoma"/>
      <family val="2"/>
    </font>
    <font>
      <sz val="10"/>
      <name val="Trebuchet MS"/>
      <family val="2"/>
    </font>
    <font>
      <b/>
      <sz val="11"/>
      <name val="Arial"/>
      <family val="2"/>
    </font>
    <font>
      <b/>
      <sz val="14"/>
      <name val="Arial Narrow"/>
      <family val="2"/>
    </font>
    <font>
      <b/>
      <sz val="10"/>
      <name val="Tahoma"/>
      <family val="2"/>
    </font>
    <font>
      <b/>
      <sz val="10"/>
      <color indexed="63"/>
      <name val="Tahoma"/>
      <family val="2"/>
    </font>
    <font>
      <b/>
      <sz val="14"/>
      <name val="Cambria"/>
      <family val="1"/>
    </font>
    <font>
      <sz val="12"/>
      <name val="Tahoma"/>
      <family val="2"/>
    </font>
    <font>
      <b/>
      <sz val="12"/>
      <name val="Tahoma"/>
      <family val="2"/>
    </font>
    <font>
      <b/>
      <sz val="12"/>
      <name val="Arial"/>
      <family val="2"/>
    </font>
    <font>
      <b/>
      <sz val="12"/>
      <name val="Arial Narrow"/>
      <family val="2"/>
    </font>
    <font>
      <sz val="12"/>
      <name val="Arial"/>
      <family val="2"/>
    </font>
    <font>
      <b/>
      <i/>
      <sz val="11"/>
      <name val="Tahoma"/>
      <family val="2"/>
    </font>
    <font>
      <i/>
      <sz val="11"/>
      <name val="Tahoma"/>
      <family val="2"/>
    </font>
    <font>
      <sz val="8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5" fontId="2" fillId="0" borderId="0" applyFill="0" applyBorder="0" applyAlignment="0" applyProtection="0"/>
  </cellStyleXfs>
  <cellXfs count="94">
    <xf numFmtId="0" fontId="0" fillId="0" borderId="0" xfId="0"/>
    <xf numFmtId="0" fontId="7" fillId="0" borderId="0" xfId="0" applyFont="1"/>
    <xf numFmtId="0" fontId="5" fillId="2" borderId="0" xfId="0" applyFont="1" applyFill="1"/>
    <xf numFmtId="0" fontId="5" fillId="2" borderId="0" xfId="0" applyFont="1" applyFill="1" applyAlignment="1"/>
    <xf numFmtId="0" fontId="9" fillId="2" borderId="0" xfId="0" applyFont="1" applyFill="1" applyAlignment="1"/>
    <xf numFmtId="0" fontId="8" fillId="0" borderId="0" xfId="0" applyFont="1" applyAlignment="1"/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quotePrefix="1" applyFont="1" applyBorder="1" applyAlignment="1">
      <alignment horizontal="center"/>
    </xf>
    <xf numFmtId="14" fontId="4" fillId="0" borderId="1" xfId="0" applyNumberFormat="1" applyFont="1" applyBorder="1" applyAlignment="1">
      <alignment horizontal="left"/>
    </xf>
    <xf numFmtId="164" fontId="4" fillId="0" borderId="1" xfId="1" applyNumberFormat="1" applyFont="1" applyBorder="1"/>
    <xf numFmtId="164" fontId="4" fillId="0" borderId="3" xfId="1" applyNumberFormat="1" applyFont="1" applyBorder="1"/>
    <xf numFmtId="0" fontId="4" fillId="0" borderId="1" xfId="0" applyFont="1" applyBorder="1"/>
    <xf numFmtId="0" fontId="10" fillId="0" borderId="4" xfId="0" applyFont="1" applyBorder="1" applyAlignment="1">
      <alignment horizontal="center" vertical="center"/>
    </xf>
    <xf numFmtId="164" fontId="10" fillId="0" borderId="4" xfId="1" applyNumberFormat="1" applyFont="1" applyBorder="1" applyAlignment="1">
      <alignment horizontal="center" vertical="center"/>
    </xf>
    <xf numFmtId="164" fontId="10" fillId="0" borderId="5" xfId="1" applyNumberFormat="1" applyFont="1" applyBorder="1" applyAlignment="1">
      <alignment horizontal="center" vertical="center"/>
    </xf>
    <xf numFmtId="164" fontId="10" fillId="0" borderId="6" xfId="1" applyNumberFormat="1" applyFont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5" fillId="0" borderId="0" xfId="0" applyFont="1"/>
    <xf numFmtId="164" fontId="5" fillId="0" borderId="0" xfId="0" applyNumberFormat="1" applyFont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9" xfId="0" applyFont="1" applyBorder="1"/>
    <xf numFmtId="164" fontId="4" fillId="0" borderId="9" xfId="1" applyNumberFormat="1" applyFont="1" applyBorder="1"/>
    <xf numFmtId="164" fontId="4" fillId="0" borderId="10" xfId="1" applyNumberFormat="1" applyFont="1" applyBorder="1"/>
    <xf numFmtId="0" fontId="10" fillId="0" borderId="7" xfId="0" applyFont="1" applyBorder="1" applyAlignment="1">
      <alignment horizontal="center" vertical="center"/>
    </xf>
    <xf numFmtId="0" fontId="13" fillId="2" borderId="0" xfId="0" applyFont="1" applyFill="1"/>
    <xf numFmtId="0" fontId="13" fillId="2" borderId="0" xfId="0" applyFont="1" applyFill="1" applyAlignment="1"/>
    <xf numFmtId="0" fontId="14" fillId="0" borderId="0" xfId="0" applyFont="1"/>
    <xf numFmtId="0" fontId="13" fillId="0" borderId="0" xfId="0" applyFont="1"/>
    <xf numFmtId="0" fontId="14" fillId="2" borderId="0" xfId="0" applyFont="1" applyFill="1" applyAlignment="1"/>
    <xf numFmtId="0" fontId="15" fillId="0" borderId="7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9" xfId="0" applyFont="1" applyBorder="1" applyAlignment="1">
      <alignment horizontal="left"/>
    </xf>
    <xf numFmtId="165" fontId="17" fillId="0" borderId="9" xfId="2" applyFont="1" applyBorder="1" applyAlignment="1">
      <alignment horizontal="center"/>
    </xf>
    <xf numFmtId="165" fontId="17" fillId="0" borderId="9" xfId="0" applyNumberFormat="1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165" fontId="17" fillId="0" borderId="1" xfId="2" applyFont="1" applyBorder="1" applyAlignment="1">
      <alignment horizontal="center"/>
    </xf>
    <xf numFmtId="165" fontId="15" fillId="0" borderId="1" xfId="0" applyNumberFormat="1" applyFont="1" applyBorder="1" applyAlignment="1">
      <alignment horizontal="center"/>
    </xf>
    <xf numFmtId="0" fontId="15" fillId="0" borderId="11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/>
    <xf numFmtId="0" fontId="20" fillId="0" borderId="12" xfId="0" applyFont="1" applyBorder="1" applyAlignment="1">
      <alignment vertical="center"/>
    </xf>
    <xf numFmtId="0" fontId="0" fillId="0" borderId="12" xfId="0" applyBorder="1"/>
    <xf numFmtId="0" fontId="6" fillId="0" borderId="0" xfId="0" applyFont="1" applyAlignment="1"/>
    <xf numFmtId="0" fontId="5" fillId="2" borderId="0" xfId="0" applyFont="1" applyFill="1" applyBorder="1" applyAlignment="1"/>
    <xf numFmtId="0" fontId="18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wrapText="1"/>
    </xf>
    <xf numFmtId="164" fontId="5" fillId="0" borderId="0" xfId="1" applyNumberFormat="1" applyFont="1"/>
    <xf numFmtId="0" fontId="5" fillId="0" borderId="13" xfId="0" applyFont="1" applyBorder="1"/>
    <xf numFmtId="164" fontId="5" fillId="0" borderId="13" xfId="1" applyNumberFormat="1" applyFont="1" applyBorder="1"/>
    <xf numFmtId="0" fontId="5" fillId="0" borderId="0" xfId="0" applyFont="1" applyBorder="1"/>
    <xf numFmtId="41" fontId="6" fillId="0" borderId="0" xfId="0" applyNumberFormat="1" applyFont="1"/>
    <xf numFmtId="0" fontId="6" fillId="0" borderId="13" xfId="0" applyFont="1" applyBorder="1"/>
    <xf numFmtId="41" fontId="6" fillId="0" borderId="13" xfId="0" applyNumberFormat="1" applyFont="1" applyBorder="1"/>
    <xf numFmtId="0" fontId="19" fillId="0" borderId="14" xfId="0" applyFont="1" applyBorder="1"/>
    <xf numFmtId="0" fontId="19" fillId="0" borderId="0" xfId="0" applyFont="1"/>
    <xf numFmtId="14" fontId="4" fillId="0" borderId="1" xfId="0" quotePrefix="1" applyNumberFormat="1" applyFont="1" applyBorder="1" applyAlignment="1">
      <alignment horizontal="center"/>
    </xf>
    <xf numFmtId="0" fontId="5" fillId="0" borderId="0" xfId="0" applyFont="1" applyAlignment="1">
      <alignment vertical="top"/>
    </xf>
    <xf numFmtId="0" fontId="11" fillId="2" borderId="7" xfId="0" applyFont="1" applyFill="1" applyBorder="1" applyAlignment="1">
      <alignment horizontal="center" vertical="center"/>
    </xf>
    <xf numFmtId="164" fontId="4" fillId="3" borderId="1" xfId="1" applyNumberFormat="1" applyFont="1" applyFill="1" applyBorder="1"/>
    <xf numFmtId="0" fontId="5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5" fillId="0" borderId="27" xfId="0" applyFont="1" applyBorder="1" applyAlignment="1">
      <alignment horizontal="right"/>
    </xf>
    <xf numFmtId="0" fontId="15" fillId="0" borderId="28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15" fontId="4" fillId="0" borderId="9" xfId="0" applyNumberFormat="1" applyFont="1" applyBorder="1" applyAlignment="1">
      <alignment horizontal="center"/>
    </xf>
  </cellXfs>
  <cellStyles count="3">
    <cellStyle name="Comma" xfId="1" builtinId="3"/>
    <cellStyle name="Comma [0]" xfId="2" builtinId="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0</xdr:row>
      <xdr:rowOff>0</xdr:rowOff>
    </xdr:from>
    <xdr:to>
      <xdr:col>6</xdr:col>
      <xdr:colOff>304800</xdr:colOff>
      <xdr:row>1</xdr:row>
      <xdr:rowOff>19050</xdr:rowOff>
    </xdr:to>
    <xdr:pic>
      <xdr:nvPicPr>
        <xdr:cNvPr id="1086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0"/>
          <a:ext cx="19621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4"/>
  <sheetViews>
    <sheetView tabSelected="1" topLeftCell="A3" workbookViewId="0">
      <selection activeCell="B9" sqref="B9"/>
    </sheetView>
  </sheetViews>
  <sheetFormatPr defaultRowHeight="12.75" x14ac:dyDescent="0.2"/>
  <cols>
    <col min="1" max="1" width="6.140625" customWidth="1"/>
    <col min="2" max="2" width="10.5703125" customWidth="1"/>
    <col min="4" max="4" width="11.7109375" customWidth="1"/>
    <col min="6" max="6" width="9.5703125" customWidth="1"/>
    <col min="7" max="7" width="10.7109375" customWidth="1"/>
    <col min="8" max="8" width="14.42578125" customWidth="1"/>
    <col min="9" max="9" width="7.7109375" customWidth="1"/>
    <col min="10" max="10" width="4.28515625" customWidth="1"/>
  </cols>
  <sheetData>
    <row r="1" spans="1:14" ht="39.950000000000003" customHeight="1" x14ac:dyDescent="0.2">
      <c r="A1" s="67"/>
      <c r="B1" s="67"/>
      <c r="C1" s="67"/>
      <c r="D1" s="67"/>
      <c r="E1" s="67"/>
      <c r="F1" s="67"/>
      <c r="G1" s="67"/>
      <c r="H1" s="67"/>
      <c r="I1" s="67"/>
      <c r="J1" s="67"/>
    </row>
    <row r="2" spans="1:14" ht="20.100000000000001" customHeight="1" x14ac:dyDescent="0.25">
      <c r="A2" s="64" t="s">
        <v>133</v>
      </c>
      <c r="B2" s="64"/>
      <c r="C2" s="64"/>
      <c r="D2" s="64"/>
      <c r="E2" s="64"/>
      <c r="F2" s="64"/>
      <c r="G2" s="64"/>
      <c r="H2" s="64"/>
      <c r="I2" s="64"/>
      <c r="J2" s="64"/>
    </row>
    <row r="3" spans="1:14" ht="20.100000000000001" customHeight="1" x14ac:dyDescent="0.25">
      <c r="A3" s="65" t="s">
        <v>112</v>
      </c>
      <c r="B3" s="65"/>
      <c r="C3" s="65"/>
      <c r="D3" s="65"/>
      <c r="E3" s="65"/>
      <c r="F3" s="65"/>
      <c r="G3" s="65"/>
      <c r="H3" s="65"/>
      <c r="I3" s="65"/>
      <c r="J3" s="65"/>
    </row>
    <row r="4" spans="1:14" ht="20.100000000000001" customHeight="1" x14ac:dyDescent="0.25">
      <c r="A4" s="66" t="s">
        <v>19</v>
      </c>
      <c r="B4" s="66"/>
      <c r="C4" s="66"/>
      <c r="D4" s="66"/>
      <c r="E4" s="66"/>
      <c r="F4" s="66"/>
      <c r="G4" s="66"/>
      <c r="H4" s="66"/>
      <c r="I4" s="66"/>
      <c r="J4" s="66"/>
    </row>
    <row r="5" spans="1:14" ht="8.1" customHeight="1" thickBot="1" x14ac:dyDescent="0.25">
      <c r="A5" s="43" t="s">
        <v>20</v>
      </c>
      <c r="B5" s="43"/>
      <c r="C5" s="43"/>
      <c r="D5" s="43"/>
      <c r="E5" s="43"/>
      <c r="F5" s="43"/>
      <c r="G5" s="43"/>
      <c r="H5" s="43"/>
      <c r="I5" s="43"/>
      <c r="J5" s="44"/>
    </row>
    <row r="6" spans="1:14" ht="9.9499999999999993" customHeight="1" x14ac:dyDescent="0.25">
      <c r="J6" s="4"/>
    </row>
    <row r="7" spans="1:14" ht="15" x14ac:dyDescent="0.25">
      <c r="A7" s="18" t="s">
        <v>21</v>
      </c>
      <c r="B7" s="18" t="s">
        <v>198</v>
      </c>
      <c r="C7" s="18"/>
      <c r="D7" s="18"/>
      <c r="E7" s="18"/>
      <c r="F7" s="18"/>
      <c r="G7" s="18"/>
      <c r="H7" s="18"/>
      <c r="I7" s="18"/>
      <c r="J7" s="45"/>
      <c r="K7" s="5"/>
      <c r="L7" s="5"/>
      <c r="M7" s="5"/>
      <c r="N7" s="5"/>
    </row>
    <row r="8" spans="1:14" ht="14.25" x14ac:dyDescent="0.2">
      <c r="A8" s="18" t="s">
        <v>22</v>
      </c>
      <c r="B8" s="18" t="s">
        <v>23</v>
      </c>
      <c r="C8" s="18"/>
      <c r="D8" s="18"/>
      <c r="E8" s="18"/>
      <c r="F8" s="18"/>
      <c r="G8" s="18"/>
      <c r="H8" s="18"/>
      <c r="I8" s="18"/>
      <c r="J8" s="46"/>
    </row>
    <row r="9" spans="1:14" ht="14.25" x14ac:dyDescent="0.2">
      <c r="A9" s="18" t="s">
        <v>24</v>
      </c>
      <c r="B9" s="18" t="s">
        <v>187</v>
      </c>
      <c r="C9" s="47"/>
      <c r="D9" s="47"/>
      <c r="E9" s="18"/>
      <c r="F9" s="18"/>
      <c r="G9" s="18"/>
      <c r="H9" s="18"/>
      <c r="I9" s="18"/>
      <c r="J9" s="18"/>
    </row>
    <row r="10" spans="1:14" ht="14.25" x14ac:dyDescent="0.2">
      <c r="A10" s="18"/>
      <c r="B10" s="68" t="s">
        <v>188</v>
      </c>
      <c r="C10" s="68"/>
      <c r="D10" s="68"/>
      <c r="E10" s="18"/>
      <c r="F10" s="18"/>
      <c r="G10" s="18"/>
      <c r="H10" s="18"/>
      <c r="I10" s="18"/>
      <c r="J10" s="18"/>
    </row>
    <row r="11" spans="1:14" ht="14.25" x14ac:dyDescent="0.2">
      <c r="A11" s="18"/>
      <c r="B11" s="47"/>
      <c r="C11" s="18"/>
      <c r="D11" s="18"/>
      <c r="E11" s="18"/>
      <c r="F11" s="18"/>
      <c r="G11" s="18"/>
      <c r="H11" s="18"/>
      <c r="I11" s="18"/>
      <c r="J11" s="18"/>
    </row>
    <row r="12" spans="1:14" ht="14.25" x14ac:dyDescent="0.2">
      <c r="A12" s="18"/>
      <c r="B12" s="18" t="s">
        <v>25</v>
      </c>
      <c r="C12" s="18"/>
      <c r="D12" s="18"/>
      <c r="E12" s="18"/>
      <c r="F12" s="18"/>
      <c r="G12" s="18"/>
      <c r="H12" s="18"/>
      <c r="I12" s="18"/>
      <c r="J12" s="18"/>
    </row>
    <row r="13" spans="1:14" ht="14.25" x14ac:dyDescent="0.2">
      <c r="A13" s="18"/>
      <c r="B13" s="18" t="s">
        <v>113</v>
      </c>
      <c r="C13" s="18"/>
      <c r="D13" s="18"/>
      <c r="E13" s="18"/>
      <c r="F13" s="18"/>
      <c r="G13" s="18"/>
      <c r="H13" s="18"/>
      <c r="I13" s="18"/>
      <c r="J13" s="18"/>
    </row>
    <row r="14" spans="1:14" ht="14.25" x14ac:dyDescent="0.2">
      <c r="A14" s="18"/>
      <c r="B14" s="18" t="s">
        <v>114</v>
      </c>
      <c r="C14" s="18"/>
      <c r="D14" s="18"/>
      <c r="E14" s="18"/>
      <c r="F14" s="18"/>
      <c r="G14" s="18"/>
      <c r="H14" s="18"/>
      <c r="I14" s="18"/>
      <c r="J14" s="18"/>
    </row>
    <row r="15" spans="1:14" ht="14.25" x14ac:dyDescent="0.2">
      <c r="A15" s="18"/>
      <c r="B15" s="47"/>
      <c r="C15" s="47"/>
      <c r="D15" s="18"/>
      <c r="E15" s="18"/>
      <c r="F15" s="18"/>
      <c r="G15" s="18"/>
      <c r="H15" s="18"/>
      <c r="I15" s="18"/>
      <c r="J15" s="18"/>
    </row>
    <row r="16" spans="1:14" ht="14.25" x14ac:dyDescent="0.2">
      <c r="A16" s="18"/>
      <c r="B16" s="47" t="s">
        <v>26</v>
      </c>
      <c r="C16" s="47"/>
      <c r="D16" s="47"/>
      <c r="E16" s="18"/>
      <c r="F16" s="18"/>
      <c r="G16" s="18"/>
      <c r="H16" s="18"/>
      <c r="I16" s="18"/>
      <c r="J16" s="18"/>
    </row>
    <row r="17" spans="1:10" ht="60" customHeight="1" x14ac:dyDescent="0.2">
      <c r="A17" s="18"/>
      <c r="B17" s="63" t="s">
        <v>197</v>
      </c>
      <c r="C17" s="63"/>
      <c r="D17" s="63"/>
      <c r="E17" s="63"/>
      <c r="F17" s="63"/>
      <c r="G17" s="63"/>
      <c r="H17" s="63"/>
      <c r="I17" s="63"/>
      <c r="J17" s="48"/>
    </row>
    <row r="18" spans="1:10" ht="14.25" x14ac:dyDescent="0.2">
      <c r="A18" s="18"/>
      <c r="B18" s="48"/>
      <c r="C18" s="48"/>
      <c r="D18" s="48"/>
      <c r="E18" s="48"/>
      <c r="F18" s="48"/>
      <c r="G18" s="48"/>
      <c r="H18" s="48"/>
      <c r="I18" s="48"/>
      <c r="J18" s="18"/>
    </row>
    <row r="19" spans="1:10" ht="14.25" x14ac:dyDescent="0.2">
      <c r="A19" s="18"/>
      <c r="B19" s="42" t="s">
        <v>31</v>
      </c>
      <c r="C19" s="18"/>
      <c r="D19" s="18"/>
      <c r="E19" s="18"/>
      <c r="F19" s="49"/>
      <c r="G19" s="18" t="s">
        <v>6</v>
      </c>
      <c r="H19" s="50">
        <f>Lap.Pemb.!F19</f>
        <v>4820000</v>
      </c>
      <c r="I19" s="18"/>
      <c r="J19" s="18"/>
    </row>
    <row r="20" spans="1:10" ht="14.25" x14ac:dyDescent="0.2">
      <c r="A20" s="18"/>
      <c r="B20" s="42"/>
      <c r="C20" s="18"/>
      <c r="D20" s="18"/>
      <c r="E20" s="18"/>
      <c r="F20" s="18"/>
      <c r="G20" s="18"/>
      <c r="H20" s="50"/>
      <c r="I20" s="18"/>
      <c r="J20" s="18"/>
    </row>
    <row r="21" spans="1:10" ht="14.25" x14ac:dyDescent="0.2">
      <c r="A21" s="18"/>
      <c r="B21" s="42" t="s">
        <v>32</v>
      </c>
      <c r="C21" s="18"/>
      <c r="D21" s="18"/>
      <c r="E21" s="18"/>
      <c r="F21" s="18"/>
      <c r="G21" s="18" t="s">
        <v>6</v>
      </c>
      <c r="H21" s="50"/>
      <c r="I21" s="18"/>
      <c r="J21" s="18"/>
    </row>
    <row r="22" spans="1:10" ht="14.25" x14ac:dyDescent="0.2">
      <c r="A22" s="18"/>
      <c r="B22" s="18"/>
      <c r="C22" s="18"/>
      <c r="D22" s="18"/>
      <c r="E22" s="18"/>
      <c r="F22" s="50"/>
      <c r="G22" s="18"/>
      <c r="H22" s="50"/>
      <c r="I22" s="18"/>
      <c r="J22" s="18"/>
    </row>
    <row r="23" spans="1:10" ht="14.25" x14ac:dyDescent="0.2">
      <c r="A23" s="18"/>
      <c r="B23" s="18" t="s">
        <v>33</v>
      </c>
      <c r="C23" s="18"/>
      <c r="D23" s="18"/>
      <c r="E23" s="18"/>
      <c r="F23" s="50"/>
      <c r="G23" s="18" t="s">
        <v>6</v>
      </c>
      <c r="H23" s="50">
        <f>Lap.Pemb.!G19</f>
        <v>150000</v>
      </c>
      <c r="I23" s="18"/>
      <c r="J23" s="18"/>
    </row>
    <row r="24" spans="1:10" ht="14.25" x14ac:dyDescent="0.2">
      <c r="A24" s="18"/>
      <c r="B24" s="18" t="s">
        <v>34</v>
      </c>
      <c r="C24" s="18"/>
      <c r="D24" s="18"/>
      <c r="E24" s="18"/>
      <c r="F24" s="50"/>
      <c r="G24" s="18" t="s">
        <v>6</v>
      </c>
      <c r="H24" s="50">
        <f>Lap.Pemb.!H19</f>
        <v>0</v>
      </c>
      <c r="I24" s="18"/>
      <c r="J24" s="18"/>
    </row>
    <row r="25" spans="1:10" ht="14.25" x14ac:dyDescent="0.2">
      <c r="A25" s="18"/>
      <c r="B25" s="18" t="s">
        <v>35</v>
      </c>
      <c r="C25" s="18"/>
      <c r="D25" s="18"/>
      <c r="E25" s="18"/>
      <c r="F25" s="50"/>
      <c r="G25" s="18" t="s">
        <v>6</v>
      </c>
      <c r="H25" s="50">
        <f>Lap.Pemb.!I19</f>
        <v>900000</v>
      </c>
      <c r="I25" s="18"/>
      <c r="J25" s="18"/>
    </row>
    <row r="26" spans="1:10" ht="14.25" x14ac:dyDescent="0.2">
      <c r="A26" s="18"/>
      <c r="B26" s="18" t="s">
        <v>131</v>
      </c>
      <c r="C26" s="18"/>
      <c r="D26" s="18"/>
      <c r="E26" s="18"/>
      <c r="F26" s="50"/>
      <c r="G26" s="18" t="s">
        <v>6</v>
      </c>
      <c r="H26" s="50">
        <f>Lap.Pemb.!J19</f>
        <v>450000</v>
      </c>
      <c r="I26" s="18"/>
      <c r="J26" s="18"/>
    </row>
    <row r="27" spans="1:10" ht="14.25" x14ac:dyDescent="0.2">
      <c r="A27" s="18"/>
      <c r="B27" s="18" t="s">
        <v>36</v>
      </c>
      <c r="C27" s="18"/>
      <c r="D27" s="18"/>
      <c r="E27" s="18"/>
      <c r="F27" s="50"/>
      <c r="G27" s="18" t="s">
        <v>6</v>
      </c>
      <c r="H27" s="50">
        <f>Lap.Pemb.!K19</f>
        <v>1320000</v>
      </c>
      <c r="I27" s="18"/>
      <c r="J27" s="18"/>
    </row>
    <row r="28" spans="1:10" ht="15" thickBot="1" x14ac:dyDescent="0.25">
      <c r="A28" s="18"/>
      <c r="B28" s="51"/>
      <c r="C28" s="51"/>
      <c r="D28" s="51"/>
      <c r="E28" s="51"/>
      <c r="F28" s="52"/>
      <c r="G28" s="52"/>
      <c r="H28" s="52"/>
      <c r="I28" s="53"/>
      <c r="J28" s="18"/>
    </row>
    <row r="29" spans="1:10" ht="14.25" x14ac:dyDescent="0.2">
      <c r="A29" s="18"/>
      <c r="B29" s="18"/>
      <c r="C29" s="18"/>
      <c r="D29" s="42" t="s">
        <v>37</v>
      </c>
      <c r="E29" s="18"/>
      <c r="F29" s="18"/>
      <c r="G29" s="42" t="s">
        <v>6</v>
      </c>
      <c r="H29" s="54">
        <f>SUM(H23:H27)</f>
        <v>2820000</v>
      </c>
      <c r="I29" s="18"/>
      <c r="J29" s="18"/>
    </row>
    <row r="30" spans="1:10" ht="15" thickBot="1" x14ac:dyDescent="0.25">
      <c r="A30" s="18"/>
      <c r="B30" s="18"/>
      <c r="C30" s="18"/>
      <c r="D30" s="42" t="s">
        <v>27</v>
      </c>
      <c r="E30" s="18"/>
      <c r="F30" s="18"/>
      <c r="G30" s="55" t="s">
        <v>6</v>
      </c>
      <c r="H30" s="56">
        <f>H31-H29</f>
        <v>2000000</v>
      </c>
      <c r="I30" s="18"/>
      <c r="J30" s="18"/>
    </row>
    <row r="31" spans="1:10" ht="14.25" x14ac:dyDescent="0.2">
      <c r="A31" s="18"/>
      <c r="B31" s="18"/>
      <c r="C31" s="18"/>
      <c r="D31" s="42" t="s">
        <v>28</v>
      </c>
      <c r="E31" s="18"/>
      <c r="F31" s="18"/>
      <c r="G31" s="42" t="s">
        <v>6</v>
      </c>
      <c r="H31" s="54">
        <f>H19</f>
        <v>4820000</v>
      </c>
      <c r="I31" s="18"/>
      <c r="J31" s="18"/>
    </row>
    <row r="32" spans="1:10" ht="14.25" x14ac:dyDescent="0.2">
      <c r="A32" s="18"/>
      <c r="B32" s="18" t="s">
        <v>38</v>
      </c>
      <c r="C32" s="18"/>
      <c r="D32" s="18"/>
      <c r="E32" s="18"/>
      <c r="F32" s="18"/>
      <c r="G32" s="18"/>
      <c r="H32" s="18"/>
      <c r="I32" s="18"/>
      <c r="J32" s="18"/>
    </row>
    <row r="33" spans="1:10" ht="14.25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</row>
    <row r="34" spans="1:10" ht="14.25" x14ac:dyDescent="0.2">
      <c r="A34" s="18"/>
      <c r="B34" s="47" t="s">
        <v>29</v>
      </c>
      <c r="C34" s="42"/>
      <c r="D34" s="42"/>
      <c r="E34" s="18"/>
      <c r="F34" s="18"/>
      <c r="G34" s="18"/>
      <c r="H34" s="18"/>
      <c r="I34" s="18"/>
      <c r="J34" s="18"/>
    </row>
    <row r="35" spans="1:10" ht="14.25" x14ac:dyDescent="0.2">
      <c r="A35" s="18"/>
      <c r="B35" s="18"/>
      <c r="C35" s="18"/>
      <c r="D35" s="18"/>
      <c r="E35" s="18"/>
      <c r="F35" s="18"/>
      <c r="G35" s="3" t="s">
        <v>194</v>
      </c>
      <c r="H35" s="18"/>
      <c r="I35" s="18"/>
      <c r="J35" s="18"/>
    </row>
    <row r="36" spans="1:10" ht="14.25" x14ac:dyDescent="0.2">
      <c r="A36" s="18"/>
      <c r="B36" s="18"/>
      <c r="C36" s="18"/>
      <c r="D36" s="18"/>
      <c r="E36" s="18"/>
      <c r="F36" s="18"/>
      <c r="G36" s="18" t="s">
        <v>115</v>
      </c>
      <c r="H36" s="18"/>
      <c r="I36" s="18"/>
      <c r="J36" s="18"/>
    </row>
    <row r="37" spans="1:10" ht="14.25" x14ac:dyDescent="0.2">
      <c r="A37" s="18"/>
      <c r="B37" s="18"/>
      <c r="C37" s="18"/>
      <c r="D37" s="18"/>
      <c r="E37" s="18"/>
      <c r="F37" s="41"/>
      <c r="G37" s="18"/>
      <c r="H37" s="18"/>
      <c r="I37" s="18"/>
      <c r="J37" s="18"/>
    </row>
    <row r="38" spans="1:10" ht="14.25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</row>
    <row r="39" spans="1:10" ht="14.25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</row>
    <row r="40" spans="1:10" ht="14.25" x14ac:dyDescent="0.2">
      <c r="A40" s="18"/>
      <c r="B40" s="42"/>
      <c r="C40" s="42"/>
      <c r="D40" s="42"/>
      <c r="E40" s="42"/>
      <c r="F40" s="42"/>
      <c r="G40" s="42" t="s">
        <v>18</v>
      </c>
      <c r="H40" s="42"/>
      <c r="I40" s="18"/>
      <c r="J40" s="18"/>
    </row>
    <row r="41" spans="1:10" ht="14.25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10" ht="14.25" x14ac:dyDescent="0.2">
      <c r="A42" s="18"/>
      <c r="B42" s="57" t="s">
        <v>30</v>
      </c>
      <c r="C42" s="57"/>
      <c r="D42" s="57"/>
      <c r="E42" s="58"/>
      <c r="F42" s="18"/>
      <c r="G42" s="18"/>
      <c r="H42" s="18"/>
      <c r="I42" s="18"/>
      <c r="J42" s="18"/>
    </row>
    <row r="43" spans="1:10" ht="14.25" x14ac:dyDescent="0.2">
      <c r="A43" s="18"/>
      <c r="B43" s="18" t="s">
        <v>195</v>
      </c>
      <c r="C43" s="18"/>
      <c r="D43" s="18"/>
      <c r="E43" s="18"/>
      <c r="F43" s="18"/>
      <c r="G43" s="18"/>
      <c r="H43" s="18"/>
      <c r="I43" s="18"/>
      <c r="J43" s="18"/>
    </row>
    <row r="44" spans="1:10" ht="14.25" x14ac:dyDescent="0.2">
      <c r="A44" s="18"/>
      <c r="B44" s="18" t="s">
        <v>196</v>
      </c>
      <c r="C44" s="18"/>
      <c r="D44" s="18"/>
      <c r="E44" s="18"/>
      <c r="F44" s="18"/>
      <c r="G44" s="18"/>
      <c r="H44" s="18"/>
      <c r="I44" s="18"/>
      <c r="J44" s="18"/>
    </row>
  </sheetData>
  <mergeCells count="6">
    <mergeCell ref="B17:I17"/>
    <mergeCell ref="A2:J2"/>
    <mergeCell ref="A3:J3"/>
    <mergeCell ref="A4:J4"/>
    <mergeCell ref="A1:J1"/>
    <mergeCell ref="B10:D10"/>
  </mergeCells>
  <phoneticPr fontId="3" type="noConversion"/>
  <pageMargins left="0.74803149606299213" right="0.51181102362204722" top="0.19685039370078741" bottom="0.39370078740157483" header="0.51181102362204722" footer="0.51181102362204722"/>
  <pageSetup paperSize="5" orientation="portrait" horizontalDpi="4294967293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3"/>
  <sheetViews>
    <sheetView workbookViewId="0">
      <selection activeCell="A17" sqref="A17"/>
    </sheetView>
  </sheetViews>
  <sheetFormatPr defaultRowHeight="12.75" x14ac:dyDescent="0.2"/>
  <cols>
    <col min="1" max="1" width="5.28515625" customWidth="1"/>
    <col min="2" max="2" width="11.42578125" customWidth="1"/>
    <col min="3" max="3" width="27.140625" customWidth="1"/>
    <col min="4" max="4" width="5.140625" customWidth="1"/>
    <col min="5" max="5" width="5.7109375" customWidth="1"/>
    <col min="6" max="6" width="14.42578125" customWidth="1"/>
    <col min="7" max="7" width="11.7109375" customWidth="1"/>
    <col min="8" max="8" width="11.85546875" customWidth="1"/>
    <col min="9" max="9" width="10" customWidth="1"/>
    <col min="10" max="10" width="12.7109375" customWidth="1"/>
    <col min="11" max="11" width="11.7109375" customWidth="1"/>
    <col min="12" max="13" width="12.7109375" customWidth="1"/>
  </cols>
  <sheetData>
    <row r="1" spans="1:13" ht="14.25" x14ac:dyDescent="0.2">
      <c r="A1" s="71" t="s">
        <v>7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</row>
    <row r="2" spans="1:13" ht="14.25" x14ac:dyDescent="0.2">
      <c r="A2" s="71" t="s">
        <v>192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</row>
    <row r="3" spans="1:13" ht="14.25" x14ac:dyDescent="0.2">
      <c r="A3" s="71" t="s">
        <v>193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</row>
    <row r="4" spans="1:13" ht="14.25" x14ac:dyDescent="0.2">
      <c r="A4" s="71" t="s">
        <v>191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</row>
    <row r="5" spans="1:13" s="1" customFormat="1" ht="15.95" customHeight="1" thickBot="1" x14ac:dyDescent="0.3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3" s="1" customFormat="1" ht="15.95" customHeight="1" x14ac:dyDescent="0.3">
      <c r="A6" s="84" t="s">
        <v>0</v>
      </c>
      <c r="B6" s="78" t="s">
        <v>2</v>
      </c>
      <c r="C6" s="82" t="s">
        <v>3</v>
      </c>
      <c r="D6" s="74" t="s">
        <v>4</v>
      </c>
      <c r="E6" s="75"/>
      <c r="F6" s="76" t="s">
        <v>12</v>
      </c>
      <c r="G6" s="80" t="s">
        <v>17</v>
      </c>
      <c r="H6" s="81"/>
      <c r="I6" s="81"/>
      <c r="J6" s="81"/>
      <c r="K6" s="81"/>
      <c r="L6" s="82"/>
      <c r="M6" s="72" t="s">
        <v>5</v>
      </c>
    </row>
    <row r="7" spans="1:13" s="1" customFormat="1" ht="15.95" customHeight="1" thickBot="1" x14ac:dyDescent="0.35">
      <c r="A7" s="85"/>
      <c r="B7" s="79"/>
      <c r="C7" s="83"/>
      <c r="D7" s="25" t="s">
        <v>13</v>
      </c>
      <c r="E7" s="25" t="s">
        <v>1</v>
      </c>
      <c r="F7" s="77"/>
      <c r="G7" s="17" t="s">
        <v>9</v>
      </c>
      <c r="H7" s="17" t="s">
        <v>8</v>
      </c>
      <c r="I7" s="17" t="s">
        <v>10</v>
      </c>
      <c r="J7" s="17" t="s">
        <v>16</v>
      </c>
      <c r="K7" s="17" t="s">
        <v>11</v>
      </c>
      <c r="L7" s="17" t="s">
        <v>15</v>
      </c>
      <c r="M7" s="73"/>
    </row>
    <row r="8" spans="1:13" s="1" customFormat="1" ht="18" customHeight="1" thickTop="1" x14ac:dyDescent="0.3">
      <c r="A8" s="20">
        <v>1</v>
      </c>
      <c r="B8" s="93">
        <v>44199</v>
      </c>
      <c r="C8" s="22" t="s">
        <v>40</v>
      </c>
      <c r="D8" s="21" t="s">
        <v>41</v>
      </c>
      <c r="E8" s="21"/>
      <c r="F8" s="23">
        <v>4820000</v>
      </c>
      <c r="G8" s="23"/>
      <c r="H8" s="23"/>
      <c r="I8" s="23"/>
      <c r="J8" s="23"/>
      <c r="K8" s="23"/>
      <c r="L8" s="23"/>
      <c r="M8" s="24">
        <f>F8</f>
        <v>4820000</v>
      </c>
    </row>
    <row r="9" spans="1:13" s="1" customFormat="1" ht="18" customHeight="1" x14ac:dyDescent="0.3">
      <c r="A9" s="20">
        <v>2</v>
      </c>
      <c r="B9" s="59">
        <v>44191</v>
      </c>
      <c r="C9" s="22" t="s">
        <v>184</v>
      </c>
      <c r="D9" s="21"/>
      <c r="E9" s="21" t="s">
        <v>42</v>
      </c>
      <c r="F9" s="23"/>
      <c r="G9" s="23"/>
      <c r="H9" s="23"/>
      <c r="I9" s="23">
        <v>300000</v>
      </c>
      <c r="J9" s="23"/>
      <c r="K9" s="23"/>
      <c r="L9" s="23">
        <f>SUM(G9:K9)</f>
        <v>300000</v>
      </c>
      <c r="M9" s="24">
        <f>M8-L9</f>
        <v>4520000</v>
      </c>
    </row>
    <row r="10" spans="1:13" s="1" customFormat="1" ht="18" customHeight="1" x14ac:dyDescent="0.3">
      <c r="A10" s="20">
        <v>3</v>
      </c>
      <c r="B10" s="59">
        <v>44192</v>
      </c>
      <c r="C10" s="22" t="s">
        <v>190</v>
      </c>
      <c r="D10" s="21"/>
      <c r="E10" s="21" t="s">
        <v>43</v>
      </c>
      <c r="F10" s="23"/>
      <c r="G10" s="23">
        <v>150000</v>
      </c>
      <c r="H10" s="23"/>
      <c r="I10" s="23"/>
      <c r="J10" s="23"/>
      <c r="K10" s="23"/>
      <c r="L10" s="23">
        <f>SUM(G10:K10)</f>
        <v>150000</v>
      </c>
      <c r="M10" s="24">
        <f>M8-L10</f>
        <v>4670000</v>
      </c>
    </row>
    <row r="11" spans="1:13" s="1" customFormat="1" ht="18" customHeight="1" x14ac:dyDescent="0.3">
      <c r="A11" s="20">
        <v>4</v>
      </c>
      <c r="B11" s="59">
        <v>44193</v>
      </c>
      <c r="C11" s="22" t="s">
        <v>185</v>
      </c>
      <c r="D11" s="21"/>
      <c r="E11" s="21" t="s">
        <v>44</v>
      </c>
      <c r="F11" s="23"/>
      <c r="G11" s="23"/>
      <c r="H11" s="23"/>
      <c r="I11" s="23">
        <v>300000</v>
      </c>
      <c r="J11" s="23"/>
      <c r="K11" s="23"/>
      <c r="L11" s="23">
        <f>SUM(I11:K11)</f>
        <v>300000</v>
      </c>
      <c r="M11" s="24">
        <f t="shared" ref="M11:M16" si="0">M10-L11</f>
        <v>4370000</v>
      </c>
    </row>
    <row r="12" spans="1:13" s="1" customFormat="1" ht="18" customHeight="1" x14ac:dyDescent="0.3">
      <c r="A12" s="20">
        <v>5</v>
      </c>
      <c r="B12" s="59">
        <v>44193</v>
      </c>
      <c r="C12" s="22" t="s">
        <v>180</v>
      </c>
      <c r="D12" s="21"/>
      <c r="E12" s="21" t="s">
        <v>45</v>
      </c>
      <c r="F12" s="23"/>
      <c r="G12" s="23"/>
      <c r="H12" s="23"/>
      <c r="I12" s="23"/>
      <c r="J12" s="23">
        <v>450000</v>
      </c>
      <c r="K12" s="23"/>
      <c r="L12" s="23">
        <f>SUM(G12:K12)</f>
        <v>450000</v>
      </c>
      <c r="M12" s="24">
        <f t="shared" si="0"/>
        <v>3920000</v>
      </c>
    </row>
    <row r="13" spans="1:13" s="1" customFormat="1" ht="18" customHeight="1" x14ac:dyDescent="0.3">
      <c r="A13" s="20">
        <v>6</v>
      </c>
      <c r="B13" s="59">
        <v>44193</v>
      </c>
      <c r="C13" s="22" t="s">
        <v>183</v>
      </c>
      <c r="D13" s="21"/>
      <c r="E13" s="21" t="s">
        <v>46</v>
      </c>
      <c r="F13" s="23"/>
      <c r="G13" s="23"/>
      <c r="H13" s="23"/>
      <c r="I13" s="23"/>
      <c r="J13" s="23"/>
      <c r="K13" s="23">
        <v>420000</v>
      </c>
      <c r="L13" s="23">
        <f>SUM(G13:K13)</f>
        <v>420000</v>
      </c>
      <c r="M13" s="24">
        <f t="shared" si="0"/>
        <v>3500000</v>
      </c>
    </row>
    <row r="14" spans="1:13" s="1" customFormat="1" ht="18" customHeight="1" x14ac:dyDescent="0.3">
      <c r="A14" s="20">
        <v>7</v>
      </c>
      <c r="B14" s="59">
        <v>44193</v>
      </c>
      <c r="C14" s="22" t="s">
        <v>181</v>
      </c>
      <c r="D14" s="21"/>
      <c r="E14" s="21" t="s">
        <v>47</v>
      </c>
      <c r="F14" s="23"/>
      <c r="G14" s="23"/>
      <c r="H14" s="23"/>
      <c r="I14" s="23"/>
      <c r="J14" s="23"/>
      <c r="K14" s="23">
        <v>400000</v>
      </c>
      <c r="L14" s="23">
        <f>SUM(K14)</f>
        <v>400000</v>
      </c>
      <c r="M14" s="24">
        <f t="shared" si="0"/>
        <v>3100000</v>
      </c>
    </row>
    <row r="15" spans="1:13" s="1" customFormat="1" ht="18" customHeight="1" x14ac:dyDescent="0.3">
      <c r="A15" s="20">
        <v>8</v>
      </c>
      <c r="B15" s="59">
        <v>44193</v>
      </c>
      <c r="C15" s="22" t="s">
        <v>182</v>
      </c>
      <c r="D15" s="21"/>
      <c r="E15" s="21" t="s">
        <v>48</v>
      </c>
      <c r="F15" s="23"/>
      <c r="G15" s="23"/>
      <c r="H15" s="23"/>
      <c r="I15" s="23"/>
      <c r="J15" s="23"/>
      <c r="K15" s="23">
        <v>500000</v>
      </c>
      <c r="L15" s="23">
        <f>SUM(K15)</f>
        <v>500000</v>
      </c>
      <c r="M15" s="24">
        <f t="shared" si="0"/>
        <v>2600000</v>
      </c>
    </row>
    <row r="16" spans="1:13" s="1" customFormat="1" ht="18" customHeight="1" x14ac:dyDescent="0.3">
      <c r="A16" s="20">
        <v>9</v>
      </c>
      <c r="B16" s="59">
        <v>43862</v>
      </c>
      <c r="C16" s="22" t="s">
        <v>186</v>
      </c>
      <c r="D16" s="21"/>
      <c r="E16" s="21" t="s">
        <v>189</v>
      </c>
      <c r="F16" s="23"/>
      <c r="G16" s="23"/>
      <c r="H16" s="23"/>
      <c r="I16" s="23">
        <v>300000</v>
      </c>
      <c r="J16" s="23"/>
      <c r="K16" s="23"/>
      <c r="L16" s="23">
        <f>SUM(I16:K16)</f>
        <v>300000</v>
      </c>
      <c r="M16" s="24">
        <f t="shared" si="0"/>
        <v>2300000</v>
      </c>
    </row>
    <row r="17" spans="1:13" s="1" customFormat="1" ht="18" customHeight="1" x14ac:dyDescent="0.3">
      <c r="A17" s="20"/>
      <c r="B17" s="59"/>
      <c r="C17" s="22"/>
      <c r="D17" s="21"/>
      <c r="E17" s="21"/>
      <c r="F17" s="23"/>
      <c r="G17" s="23"/>
      <c r="H17" s="23"/>
      <c r="I17" s="23"/>
      <c r="J17" s="23"/>
      <c r="K17" s="23"/>
      <c r="L17" s="23"/>
      <c r="M17" s="24"/>
    </row>
    <row r="18" spans="1:13" s="1" customFormat="1" ht="18" customHeight="1" thickBot="1" x14ac:dyDescent="0.35">
      <c r="A18" s="7"/>
      <c r="B18" s="6"/>
      <c r="C18" s="12"/>
      <c r="D18" s="6"/>
      <c r="E18" s="6"/>
      <c r="F18" s="10"/>
      <c r="G18" s="10"/>
      <c r="H18" s="10"/>
      <c r="I18" s="10"/>
      <c r="J18" s="10"/>
      <c r="K18" s="10"/>
      <c r="L18" s="10">
        <f t="shared" ref="L18" si="1">SUM(G18:K18)</f>
        <v>0</v>
      </c>
      <c r="M18" s="11"/>
    </row>
    <row r="19" spans="1:13" s="1" customFormat="1" ht="18" customHeight="1" thickBot="1" x14ac:dyDescent="0.35">
      <c r="A19" s="69" t="s">
        <v>14</v>
      </c>
      <c r="B19" s="70"/>
      <c r="C19" s="70"/>
      <c r="D19" s="13"/>
      <c r="E19" s="13"/>
      <c r="F19" s="14">
        <f t="shared" ref="F19:L19" si="2">SUM(F8:F18)</f>
        <v>4820000</v>
      </c>
      <c r="G19" s="14">
        <f t="shared" si="2"/>
        <v>150000</v>
      </c>
      <c r="H19" s="14">
        <f t="shared" si="2"/>
        <v>0</v>
      </c>
      <c r="I19" s="14">
        <f t="shared" si="2"/>
        <v>900000</v>
      </c>
      <c r="J19" s="15">
        <f t="shared" si="2"/>
        <v>450000</v>
      </c>
      <c r="K19" s="15">
        <f t="shared" si="2"/>
        <v>1320000</v>
      </c>
      <c r="L19" s="15">
        <f t="shared" si="2"/>
        <v>2820000</v>
      </c>
      <c r="M19" s="16">
        <f>F19-L19</f>
        <v>2000000</v>
      </c>
    </row>
    <row r="20" spans="1:13" s="1" customFormat="1" ht="15.95" customHeight="1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9"/>
    </row>
    <row r="21" spans="1:13" s="1" customFormat="1" ht="15.95" customHeight="1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3" t="s">
        <v>194</v>
      </c>
      <c r="L21" s="18"/>
      <c r="M21" s="60"/>
    </row>
    <row r="22" spans="1:13" s="1" customFormat="1" ht="15.95" customHeight="1" x14ac:dyDescent="0.3">
      <c r="A22" s="18"/>
      <c r="B22" s="18"/>
      <c r="C22" s="26"/>
      <c r="D22" s="26"/>
      <c r="E22" s="26"/>
      <c r="F22" s="26"/>
      <c r="G22" s="26"/>
      <c r="H22" s="26"/>
      <c r="I22" s="26"/>
      <c r="J22" s="26"/>
      <c r="K22" s="26" t="s">
        <v>115</v>
      </c>
      <c r="L22" s="2"/>
      <c r="M22" s="2"/>
    </row>
    <row r="23" spans="1:13" s="1" customFormat="1" ht="15.95" customHeight="1" x14ac:dyDescent="0.3">
      <c r="A23" s="18"/>
      <c r="B23" s="18"/>
      <c r="C23" s="26"/>
      <c r="D23" s="26"/>
      <c r="E23" s="26"/>
      <c r="F23" s="26"/>
      <c r="G23" s="26"/>
      <c r="H23" s="26"/>
      <c r="I23" s="26"/>
      <c r="J23" s="26"/>
      <c r="K23" s="27"/>
      <c r="L23" s="2"/>
      <c r="M23" s="2"/>
    </row>
    <row r="24" spans="1:13" s="1" customFormat="1" ht="15.95" customHeight="1" x14ac:dyDescent="0.3">
      <c r="A24" s="18"/>
      <c r="B24" s="18"/>
      <c r="C24" s="26"/>
      <c r="D24" s="26"/>
      <c r="E24" s="26"/>
      <c r="F24" s="26"/>
      <c r="G24" s="26"/>
      <c r="H24" s="26"/>
      <c r="I24" s="26"/>
      <c r="J24" s="26"/>
      <c r="K24" s="27"/>
      <c r="L24" s="2"/>
      <c r="M24" s="2"/>
    </row>
    <row r="25" spans="1:13" s="1" customFormat="1" ht="15.95" customHeight="1" x14ac:dyDescent="0.3">
      <c r="A25" s="18"/>
      <c r="B25" s="18"/>
      <c r="C25" s="28"/>
      <c r="D25" s="29"/>
      <c r="E25" s="29"/>
      <c r="F25" s="29"/>
      <c r="G25" s="29"/>
      <c r="H25" s="29"/>
      <c r="I25" s="29"/>
      <c r="J25" s="26"/>
      <c r="K25" s="30" t="s">
        <v>18</v>
      </c>
      <c r="L25" s="2"/>
      <c r="M25" s="2"/>
    </row>
    <row r="26" spans="1:13" ht="14.25" x14ac:dyDescent="0.2">
      <c r="A26" s="71" t="s">
        <v>7</v>
      </c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4.25" x14ac:dyDescent="0.2">
      <c r="A27" s="71" t="s">
        <v>140</v>
      </c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4.25" x14ac:dyDescent="0.2">
      <c r="A28" s="71" t="s">
        <v>142</v>
      </c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4.25" x14ac:dyDescent="0.2">
      <c r="A29" s="71" t="s">
        <v>141</v>
      </c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5" thickBot="1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</row>
    <row r="31" spans="1:13" x14ac:dyDescent="0.2">
      <c r="A31" s="84" t="s">
        <v>0</v>
      </c>
      <c r="B31" s="78" t="s">
        <v>2</v>
      </c>
      <c r="C31" s="82" t="s">
        <v>3</v>
      </c>
      <c r="D31" s="74" t="s">
        <v>4</v>
      </c>
      <c r="E31" s="75"/>
      <c r="F31" s="76" t="s">
        <v>12</v>
      </c>
      <c r="G31" s="80" t="s">
        <v>17</v>
      </c>
      <c r="H31" s="81"/>
      <c r="I31" s="81"/>
      <c r="J31" s="81"/>
      <c r="K31" s="81"/>
      <c r="L31" s="82"/>
      <c r="M31" s="72" t="s">
        <v>5</v>
      </c>
    </row>
    <row r="32" spans="1:13" ht="13.5" thickBot="1" x14ac:dyDescent="0.25">
      <c r="A32" s="85"/>
      <c r="B32" s="79"/>
      <c r="C32" s="83"/>
      <c r="D32" s="25" t="s">
        <v>13</v>
      </c>
      <c r="E32" s="25" t="s">
        <v>1</v>
      </c>
      <c r="F32" s="77"/>
      <c r="G32" s="61" t="s">
        <v>9</v>
      </c>
      <c r="H32" s="61" t="s">
        <v>8</v>
      </c>
      <c r="I32" s="61" t="s">
        <v>10</v>
      </c>
      <c r="J32" s="61" t="s">
        <v>16</v>
      </c>
      <c r="K32" s="61" t="s">
        <v>11</v>
      </c>
      <c r="L32" s="61" t="s">
        <v>15</v>
      </c>
      <c r="M32" s="73"/>
    </row>
    <row r="33" spans="1:13" ht="13.5" thickTop="1" x14ac:dyDescent="0.2">
      <c r="A33" s="20">
        <v>1</v>
      </c>
      <c r="B33" s="21"/>
      <c r="C33" s="22" t="s">
        <v>40</v>
      </c>
      <c r="D33" s="21" t="s">
        <v>41</v>
      </c>
      <c r="E33" s="21"/>
      <c r="F33" s="23">
        <v>4000000</v>
      </c>
      <c r="G33" s="23"/>
      <c r="H33" s="23"/>
      <c r="I33" s="23"/>
      <c r="J33" s="23"/>
      <c r="K33" s="23"/>
      <c r="L33" s="23"/>
      <c r="M33" s="24">
        <f>F33</f>
        <v>4000000</v>
      </c>
    </row>
    <row r="34" spans="1:13" x14ac:dyDescent="0.2">
      <c r="A34" s="7">
        <v>2</v>
      </c>
      <c r="B34" s="59">
        <v>43213</v>
      </c>
      <c r="C34" s="9" t="s">
        <v>143</v>
      </c>
      <c r="D34" s="6"/>
      <c r="E34" s="6" t="s">
        <v>42</v>
      </c>
      <c r="F34" s="10"/>
      <c r="G34" s="10"/>
      <c r="H34" s="10"/>
      <c r="I34" s="10"/>
      <c r="J34" s="10"/>
      <c r="K34" s="62">
        <v>27500</v>
      </c>
      <c r="L34" s="10">
        <f t="shared" ref="L34:L40" si="3">SUM(G34:K34)</f>
        <v>27500</v>
      </c>
      <c r="M34" s="11">
        <f>SUM(M33-L34)</f>
        <v>3972500</v>
      </c>
    </row>
    <row r="35" spans="1:13" x14ac:dyDescent="0.2">
      <c r="A35" s="7">
        <v>3</v>
      </c>
      <c r="B35" s="59">
        <v>43213</v>
      </c>
      <c r="C35" s="9" t="s">
        <v>144</v>
      </c>
      <c r="D35" s="6"/>
      <c r="E35" s="6" t="s">
        <v>43</v>
      </c>
      <c r="F35" s="10"/>
      <c r="G35" s="10"/>
      <c r="H35" s="10"/>
      <c r="I35" s="62">
        <v>70000</v>
      </c>
      <c r="J35" s="10"/>
      <c r="K35" s="10"/>
      <c r="L35" s="10">
        <f t="shared" si="3"/>
        <v>70000</v>
      </c>
      <c r="M35" s="11">
        <f t="shared" ref="M35:M40" si="4">SUM(M34-L35)</f>
        <v>3902500</v>
      </c>
    </row>
    <row r="36" spans="1:13" x14ac:dyDescent="0.2">
      <c r="A36" s="7">
        <v>4</v>
      </c>
      <c r="B36" s="59">
        <v>43214</v>
      </c>
      <c r="C36" s="9" t="s">
        <v>145</v>
      </c>
      <c r="D36" s="6"/>
      <c r="E36" s="6" t="s">
        <v>44</v>
      </c>
      <c r="F36" s="10"/>
      <c r="G36" s="10"/>
      <c r="H36" s="10"/>
      <c r="I36" s="10"/>
      <c r="J36" s="10"/>
      <c r="K36" s="10">
        <v>30000</v>
      </c>
      <c r="L36" s="10">
        <f t="shared" si="3"/>
        <v>30000</v>
      </c>
      <c r="M36" s="11">
        <f t="shared" si="4"/>
        <v>3872500</v>
      </c>
    </row>
    <row r="37" spans="1:13" x14ac:dyDescent="0.2">
      <c r="A37" s="7">
        <v>5</v>
      </c>
      <c r="B37" s="59">
        <v>43214</v>
      </c>
      <c r="C37" s="9" t="s">
        <v>146</v>
      </c>
      <c r="D37" s="6"/>
      <c r="E37" s="6" t="s">
        <v>45</v>
      </c>
      <c r="F37" s="10"/>
      <c r="G37" s="10">
        <v>40000</v>
      </c>
      <c r="H37" s="10"/>
      <c r="I37" s="10"/>
      <c r="J37" s="10"/>
      <c r="K37" s="10"/>
      <c r="L37" s="10">
        <f t="shared" si="3"/>
        <v>40000</v>
      </c>
      <c r="M37" s="11">
        <f t="shared" si="4"/>
        <v>3832500</v>
      </c>
    </row>
    <row r="38" spans="1:13" x14ac:dyDescent="0.2">
      <c r="A38" s="7">
        <v>6</v>
      </c>
      <c r="B38" s="59">
        <v>43214</v>
      </c>
      <c r="C38" s="9" t="s">
        <v>147</v>
      </c>
      <c r="D38" s="6"/>
      <c r="E38" s="6" t="s">
        <v>46</v>
      </c>
      <c r="F38" s="10"/>
      <c r="G38" s="10"/>
      <c r="H38" s="10"/>
      <c r="I38" s="10"/>
      <c r="J38" s="10"/>
      <c r="K38" s="10">
        <v>48000</v>
      </c>
      <c r="L38" s="10">
        <f t="shared" si="3"/>
        <v>48000</v>
      </c>
      <c r="M38" s="11">
        <f t="shared" si="4"/>
        <v>3784500</v>
      </c>
    </row>
    <row r="39" spans="1:13" x14ac:dyDescent="0.2">
      <c r="A39" s="7">
        <v>7</v>
      </c>
      <c r="B39" s="59">
        <v>43214</v>
      </c>
      <c r="C39" s="9" t="s">
        <v>148</v>
      </c>
      <c r="D39" s="6"/>
      <c r="E39" s="6" t="s">
        <v>47</v>
      </c>
      <c r="F39" s="10"/>
      <c r="G39" s="10"/>
      <c r="H39" s="10"/>
      <c r="I39" s="10"/>
      <c r="J39" s="10"/>
      <c r="K39" s="10">
        <v>6000</v>
      </c>
      <c r="L39" s="10">
        <f t="shared" si="3"/>
        <v>6000</v>
      </c>
      <c r="M39" s="11">
        <f t="shared" si="4"/>
        <v>3778500</v>
      </c>
    </row>
    <row r="40" spans="1:13" x14ac:dyDescent="0.2">
      <c r="A40" s="7">
        <v>8</v>
      </c>
      <c r="B40" s="59">
        <v>43214</v>
      </c>
      <c r="C40" s="9" t="s">
        <v>144</v>
      </c>
      <c r="D40" s="6"/>
      <c r="E40" s="6" t="s">
        <v>48</v>
      </c>
      <c r="F40" s="10"/>
      <c r="G40" s="10"/>
      <c r="H40" s="10"/>
      <c r="I40" s="62">
        <v>60000</v>
      </c>
      <c r="J40" s="10"/>
      <c r="K40" s="10"/>
      <c r="L40" s="10">
        <f t="shared" si="3"/>
        <v>60000</v>
      </c>
      <c r="M40" s="11">
        <f t="shared" si="4"/>
        <v>3718500</v>
      </c>
    </row>
    <row r="41" spans="1:13" ht="15" x14ac:dyDescent="0.3">
      <c r="A41" s="7">
        <v>9</v>
      </c>
      <c r="B41" s="1"/>
      <c r="C41" s="9"/>
      <c r="D41" s="6"/>
      <c r="E41" s="1"/>
      <c r="F41" s="10"/>
      <c r="G41" s="10"/>
      <c r="H41" s="1"/>
      <c r="I41" s="10"/>
      <c r="J41" s="10"/>
      <c r="K41" s="10"/>
      <c r="L41" s="10"/>
      <c r="M41" s="11">
        <f>SUM(M40-L41)</f>
        <v>3718500</v>
      </c>
    </row>
    <row r="42" spans="1:13" x14ac:dyDescent="0.2">
      <c r="A42" s="7">
        <v>10</v>
      </c>
      <c r="B42" s="59">
        <v>43215</v>
      </c>
      <c r="C42" s="9" t="s">
        <v>143</v>
      </c>
      <c r="D42" s="6"/>
      <c r="E42" s="6" t="s">
        <v>49</v>
      </c>
      <c r="F42" s="10"/>
      <c r="G42" s="10"/>
      <c r="H42" s="10"/>
      <c r="I42" s="10"/>
      <c r="J42" s="10"/>
      <c r="K42" s="10">
        <v>25000</v>
      </c>
      <c r="L42" s="10">
        <f t="shared" ref="L42:L97" si="5">SUM(G42:K42)</f>
        <v>25000</v>
      </c>
      <c r="M42" s="11">
        <f>SUM(M41-L42)</f>
        <v>3693500</v>
      </c>
    </row>
    <row r="43" spans="1:13" x14ac:dyDescent="0.2">
      <c r="A43" s="7">
        <v>11</v>
      </c>
      <c r="B43" s="59">
        <v>43215</v>
      </c>
      <c r="C43" s="9" t="s">
        <v>144</v>
      </c>
      <c r="D43" s="6"/>
      <c r="E43" s="6" t="s">
        <v>50</v>
      </c>
      <c r="F43" s="10"/>
      <c r="G43" s="10"/>
      <c r="H43" s="10"/>
      <c r="I43" s="62">
        <v>70000</v>
      </c>
      <c r="J43" s="10"/>
      <c r="K43" s="10"/>
      <c r="L43" s="10">
        <f t="shared" si="5"/>
        <v>70000</v>
      </c>
      <c r="M43" s="11">
        <f t="shared" ref="M43:M106" si="6">SUM(M42-L43)</f>
        <v>3623500</v>
      </c>
    </row>
    <row r="44" spans="1:13" x14ac:dyDescent="0.2">
      <c r="A44" s="7">
        <v>12</v>
      </c>
      <c r="B44" s="59">
        <v>43214</v>
      </c>
      <c r="C44" s="9" t="s">
        <v>150</v>
      </c>
      <c r="D44" s="6"/>
      <c r="E44" s="6" t="s">
        <v>51</v>
      </c>
      <c r="F44" s="10"/>
      <c r="G44" s="10"/>
      <c r="H44" s="10"/>
      <c r="I44" s="62">
        <v>150000</v>
      </c>
      <c r="J44" s="10"/>
      <c r="K44" s="10"/>
      <c r="L44" s="10">
        <f t="shared" si="5"/>
        <v>150000</v>
      </c>
      <c r="M44" s="11">
        <f t="shared" si="6"/>
        <v>3473500</v>
      </c>
    </row>
    <row r="45" spans="1:13" x14ac:dyDescent="0.2">
      <c r="A45" s="7">
        <v>13</v>
      </c>
      <c r="B45" s="59">
        <v>43203</v>
      </c>
      <c r="C45" s="9" t="s">
        <v>151</v>
      </c>
      <c r="D45" s="6"/>
      <c r="E45" s="6" t="s">
        <v>52</v>
      </c>
      <c r="F45" s="10"/>
      <c r="G45" s="10"/>
      <c r="H45" s="10"/>
      <c r="I45" s="10"/>
      <c r="J45" s="10"/>
      <c r="K45" s="62">
        <v>97500</v>
      </c>
      <c r="L45" s="10">
        <f t="shared" si="5"/>
        <v>97500</v>
      </c>
      <c r="M45" s="11">
        <f t="shared" si="6"/>
        <v>3376000</v>
      </c>
    </row>
    <row r="46" spans="1:13" x14ac:dyDescent="0.2">
      <c r="A46" s="7">
        <v>14</v>
      </c>
      <c r="B46" s="59">
        <v>43216</v>
      </c>
      <c r="C46" s="9" t="s">
        <v>152</v>
      </c>
      <c r="D46" s="6"/>
      <c r="E46" s="6" t="s">
        <v>53</v>
      </c>
      <c r="F46" s="10"/>
      <c r="G46" s="10"/>
      <c r="H46" s="10"/>
      <c r="I46" s="62">
        <v>10000</v>
      </c>
      <c r="J46" s="10"/>
      <c r="K46" s="10"/>
      <c r="L46" s="10">
        <f t="shared" si="5"/>
        <v>10000</v>
      </c>
      <c r="M46" s="11">
        <f t="shared" si="6"/>
        <v>3366000</v>
      </c>
    </row>
    <row r="47" spans="1:13" x14ac:dyDescent="0.2">
      <c r="A47" s="7">
        <v>15</v>
      </c>
      <c r="B47" s="59">
        <v>43216</v>
      </c>
      <c r="C47" s="9" t="s">
        <v>153</v>
      </c>
      <c r="D47" s="6"/>
      <c r="E47" s="6" t="s">
        <v>54</v>
      </c>
      <c r="F47" s="10"/>
      <c r="G47" s="10"/>
      <c r="H47" s="10"/>
      <c r="I47" s="62">
        <v>150000</v>
      </c>
      <c r="J47" s="10"/>
      <c r="K47" s="10"/>
      <c r="L47" s="10">
        <f t="shared" si="5"/>
        <v>150000</v>
      </c>
      <c r="M47" s="11">
        <f t="shared" si="6"/>
        <v>3216000</v>
      </c>
    </row>
    <row r="48" spans="1:13" x14ac:dyDescent="0.2">
      <c r="A48" s="7">
        <v>16</v>
      </c>
      <c r="B48" s="59">
        <v>43217</v>
      </c>
      <c r="C48" s="9" t="s">
        <v>149</v>
      </c>
      <c r="D48" s="6"/>
      <c r="E48" s="6" t="s">
        <v>55</v>
      </c>
      <c r="F48" s="10"/>
      <c r="G48" s="10"/>
      <c r="H48" s="62">
        <v>10000</v>
      </c>
      <c r="I48" s="10"/>
      <c r="J48" s="10"/>
      <c r="K48" s="10"/>
      <c r="L48" s="10">
        <f t="shared" si="5"/>
        <v>10000</v>
      </c>
      <c r="M48" s="11">
        <f t="shared" si="6"/>
        <v>3206000</v>
      </c>
    </row>
    <row r="49" spans="1:13" x14ac:dyDescent="0.2">
      <c r="A49" s="7">
        <v>17</v>
      </c>
      <c r="B49" s="59">
        <v>43217</v>
      </c>
      <c r="C49" s="9" t="s">
        <v>154</v>
      </c>
      <c r="D49" s="6"/>
      <c r="E49" s="6" t="s">
        <v>56</v>
      </c>
      <c r="F49" s="10"/>
      <c r="G49" s="10"/>
      <c r="H49" s="10"/>
      <c r="I49" s="62">
        <v>60000</v>
      </c>
      <c r="J49" s="10"/>
      <c r="K49" s="10"/>
      <c r="L49" s="10">
        <f t="shared" si="5"/>
        <v>60000</v>
      </c>
      <c r="M49" s="11">
        <f t="shared" si="6"/>
        <v>3146000</v>
      </c>
    </row>
    <row r="50" spans="1:13" x14ac:dyDescent="0.2">
      <c r="A50" s="7">
        <v>18</v>
      </c>
      <c r="B50" s="59">
        <v>43217</v>
      </c>
      <c r="C50" s="9" t="s">
        <v>155</v>
      </c>
      <c r="D50" s="6"/>
      <c r="E50" s="6" t="s">
        <v>57</v>
      </c>
      <c r="F50" s="10"/>
      <c r="G50" s="10"/>
      <c r="H50" s="10"/>
      <c r="I50" s="10"/>
      <c r="J50" s="10"/>
      <c r="K50" s="10">
        <v>90000</v>
      </c>
      <c r="L50" s="10">
        <f t="shared" si="5"/>
        <v>90000</v>
      </c>
      <c r="M50" s="11">
        <f t="shared" si="6"/>
        <v>3056000</v>
      </c>
    </row>
    <row r="51" spans="1:13" x14ac:dyDescent="0.2">
      <c r="A51" s="7">
        <v>19</v>
      </c>
      <c r="B51" s="59">
        <v>43217</v>
      </c>
      <c r="C51" s="9" t="s">
        <v>156</v>
      </c>
      <c r="D51" s="6"/>
      <c r="E51" s="6" t="s">
        <v>58</v>
      </c>
      <c r="F51" s="10"/>
      <c r="G51" s="10"/>
      <c r="H51" s="10"/>
      <c r="I51" s="10"/>
      <c r="J51" s="10"/>
      <c r="K51" s="62">
        <v>2000</v>
      </c>
      <c r="L51" s="10">
        <f t="shared" si="5"/>
        <v>2000</v>
      </c>
      <c r="M51" s="11">
        <f t="shared" si="6"/>
        <v>3054000</v>
      </c>
    </row>
    <row r="52" spans="1:13" x14ac:dyDescent="0.2">
      <c r="A52" s="7">
        <v>20</v>
      </c>
      <c r="B52" s="59">
        <v>43217</v>
      </c>
      <c r="C52" s="9" t="s">
        <v>157</v>
      </c>
      <c r="D52" s="6"/>
      <c r="E52" s="6" t="s">
        <v>59</v>
      </c>
      <c r="F52" s="10"/>
      <c r="G52" s="10"/>
      <c r="H52" s="10"/>
      <c r="I52" s="62">
        <v>60000</v>
      </c>
      <c r="J52" s="10"/>
      <c r="K52" s="10"/>
      <c r="L52" s="10">
        <f t="shared" si="5"/>
        <v>60000</v>
      </c>
      <c r="M52" s="11">
        <f t="shared" si="6"/>
        <v>2994000</v>
      </c>
    </row>
    <row r="53" spans="1:13" x14ac:dyDescent="0.2">
      <c r="A53" s="7">
        <v>21</v>
      </c>
      <c r="B53" s="59">
        <v>43218</v>
      </c>
      <c r="C53" s="9" t="s">
        <v>158</v>
      </c>
      <c r="D53" s="6"/>
      <c r="E53" s="6" t="s">
        <v>60</v>
      </c>
      <c r="F53" s="10"/>
      <c r="G53" s="10"/>
      <c r="H53" s="10"/>
      <c r="I53" s="62">
        <v>10000</v>
      </c>
      <c r="J53" s="10"/>
      <c r="K53" s="10"/>
      <c r="L53" s="10">
        <f t="shared" si="5"/>
        <v>10000</v>
      </c>
      <c r="M53" s="11">
        <f t="shared" si="6"/>
        <v>2984000</v>
      </c>
    </row>
    <row r="54" spans="1:13" x14ac:dyDescent="0.2">
      <c r="A54" s="7">
        <v>24</v>
      </c>
      <c r="B54" s="59">
        <v>43218</v>
      </c>
      <c r="C54" s="9" t="s">
        <v>136</v>
      </c>
      <c r="D54" s="6"/>
      <c r="E54" s="6" t="s">
        <v>61</v>
      </c>
      <c r="F54" s="10"/>
      <c r="G54" s="62">
        <v>3000</v>
      </c>
      <c r="H54" s="10"/>
      <c r="I54" s="10"/>
      <c r="J54" s="10"/>
      <c r="K54" s="10"/>
      <c r="L54" s="10">
        <f t="shared" si="5"/>
        <v>3000</v>
      </c>
      <c r="M54" s="11">
        <f t="shared" si="6"/>
        <v>2981000</v>
      </c>
    </row>
    <row r="55" spans="1:13" x14ac:dyDescent="0.2">
      <c r="A55" s="7">
        <v>25</v>
      </c>
      <c r="B55" s="59">
        <v>43218</v>
      </c>
      <c r="C55" s="9" t="s">
        <v>159</v>
      </c>
      <c r="D55" s="6"/>
      <c r="E55" s="6" t="s">
        <v>62</v>
      </c>
      <c r="F55" s="10"/>
      <c r="G55" s="62">
        <v>1500</v>
      </c>
      <c r="H55" s="10"/>
      <c r="I55" s="10"/>
      <c r="J55" s="10"/>
      <c r="K55" s="10"/>
      <c r="L55" s="10">
        <f t="shared" si="5"/>
        <v>1500</v>
      </c>
      <c r="M55" s="11">
        <f t="shared" si="6"/>
        <v>2979500</v>
      </c>
    </row>
    <row r="56" spans="1:13" x14ac:dyDescent="0.2">
      <c r="A56" s="7">
        <v>26</v>
      </c>
      <c r="B56" s="59">
        <v>43218</v>
      </c>
      <c r="C56" s="9" t="s">
        <v>136</v>
      </c>
      <c r="D56" s="6"/>
      <c r="E56" s="6" t="s">
        <v>63</v>
      </c>
      <c r="F56" s="10"/>
      <c r="G56" s="62">
        <v>85000</v>
      </c>
      <c r="H56" s="10"/>
      <c r="I56" s="10"/>
      <c r="J56" s="10"/>
      <c r="K56" s="10"/>
      <c r="L56" s="10">
        <f t="shared" si="5"/>
        <v>85000</v>
      </c>
      <c r="M56" s="11">
        <f t="shared" si="6"/>
        <v>2894500</v>
      </c>
    </row>
    <row r="57" spans="1:13" x14ac:dyDescent="0.2">
      <c r="A57" s="7">
        <v>27</v>
      </c>
      <c r="B57" s="59">
        <v>43218</v>
      </c>
      <c r="C57" s="9" t="s">
        <v>160</v>
      </c>
      <c r="D57" s="6"/>
      <c r="E57" s="6" t="s">
        <v>64</v>
      </c>
      <c r="F57" s="10"/>
      <c r="G57" s="10"/>
      <c r="H57" s="10"/>
      <c r="I57" s="10"/>
      <c r="J57" s="10"/>
      <c r="K57" s="10">
        <v>36000</v>
      </c>
      <c r="L57" s="10">
        <f t="shared" si="5"/>
        <v>36000</v>
      </c>
      <c r="M57" s="11">
        <f t="shared" si="6"/>
        <v>2858500</v>
      </c>
    </row>
    <row r="58" spans="1:13" x14ac:dyDescent="0.2">
      <c r="A58" s="7">
        <v>28</v>
      </c>
      <c r="B58" s="59">
        <v>43218</v>
      </c>
      <c r="C58" s="9" t="s">
        <v>157</v>
      </c>
      <c r="D58" s="6"/>
      <c r="E58" s="6" t="s">
        <v>65</v>
      </c>
      <c r="F58" s="10"/>
      <c r="G58" s="10"/>
      <c r="H58" s="10"/>
      <c r="I58" s="62">
        <v>75000</v>
      </c>
      <c r="J58" s="10"/>
      <c r="K58" s="10"/>
      <c r="L58" s="10">
        <f t="shared" si="5"/>
        <v>75000</v>
      </c>
      <c r="M58" s="11">
        <f t="shared" si="6"/>
        <v>2783500</v>
      </c>
    </row>
    <row r="59" spans="1:13" x14ac:dyDescent="0.2">
      <c r="A59" s="7">
        <v>29</v>
      </c>
      <c r="B59" s="59">
        <v>43219</v>
      </c>
      <c r="C59" s="9" t="s">
        <v>161</v>
      </c>
      <c r="D59" s="6"/>
      <c r="E59" s="6" t="s">
        <v>66</v>
      </c>
      <c r="F59" s="10"/>
      <c r="G59" s="10"/>
      <c r="H59" s="10"/>
      <c r="I59" s="10"/>
      <c r="J59" s="10"/>
      <c r="K59" s="62">
        <v>80000</v>
      </c>
      <c r="L59" s="10">
        <f t="shared" si="5"/>
        <v>80000</v>
      </c>
      <c r="M59" s="11">
        <f t="shared" si="6"/>
        <v>2703500</v>
      </c>
    </row>
    <row r="60" spans="1:13" x14ac:dyDescent="0.2">
      <c r="A60" s="7">
        <v>30</v>
      </c>
      <c r="B60" s="59">
        <v>43219</v>
      </c>
      <c r="C60" s="9" t="s">
        <v>162</v>
      </c>
      <c r="D60" s="6"/>
      <c r="E60" s="6" t="s">
        <v>67</v>
      </c>
      <c r="F60" s="10"/>
      <c r="G60" s="10"/>
      <c r="H60" s="10"/>
      <c r="I60" s="10"/>
      <c r="J60" s="10"/>
      <c r="K60" s="10">
        <v>116500</v>
      </c>
      <c r="L60" s="10">
        <f t="shared" si="5"/>
        <v>116500</v>
      </c>
      <c r="M60" s="11">
        <f t="shared" si="6"/>
        <v>2587000</v>
      </c>
    </row>
    <row r="61" spans="1:13" x14ac:dyDescent="0.2">
      <c r="A61" s="7">
        <v>31</v>
      </c>
      <c r="B61" s="59">
        <v>43219</v>
      </c>
      <c r="C61" s="9" t="s">
        <v>157</v>
      </c>
      <c r="D61" s="6"/>
      <c r="E61" s="6" t="s">
        <v>68</v>
      </c>
      <c r="F61" s="10"/>
      <c r="G61" s="10"/>
      <c r="H61" s="10"/>
      <c r="I61" s="62">
        <v>15000</v>
      </c>
      <c r="J61" s="10"/>
      <c r="K61" s="10"/>
      <c r="L61" s="10">
        <f t="shared" si="5"/>
        <v>15000</v>
      </c>
      <c r="M61" s="11">
        <f t="shared" si="6"/>
        <v>2572000</v>
      </c>
    </row>
    <row r="62" spans="1:13" x14ac:dyDescent="0.2">
      <c r="A62" s="7">
        <v>32</v>
      </c>
      <c r="B62" s="59">
        <v>43220</v>
      </c>
      <c r="C62" s="9" t="s">
        <v>163</v>
      </c>
      <c r="D62" s="6"/>
      <c r="E62" s="6" t="s">
        <v>69</v>
      </c>
      <c r="F62" s="10"/>
      <c r="G62" s="10"/>
      <c r="H62" s="10"/>
      <c r="I62" s="10">
        <v>88000</v>
      </c>
      <c r="J62" s="10"/>
      <c r="K62" s="10"/>
      <c r="L62" s="10">
        <f t="shared" si="5"/>
        <v>88000</v>
      </c>
      <c r="M62" s="11">
        <f t="shared" si="6"/>
        <v>2484000</v>
      </c>
    </row>
    <row r="63" spans="1:13" x14ac:dyDescent="0.2">
      <c r="A63" s="7">
        <v>33</v>
      </c>
      <c r="B63" s="59">
        <v>43218</v>
      </c>
      <c r="C63" s="9" t="s">
        <v>164</v>
      </c>
      <c r="D63" s="6"/>
      <c r="E63" s="6" t="s">
        <v>70</v>
      </c>
      <c r="F63" s="10"/>
      <c r="G63" s="10"/>
      <c r="H63" s="10"/>
      <c r="I63" s="10"/>
      <c r="J63" s="10" t="s">
        <v>134</v>
      </c>
      <c r="K63" s="62">
        <v>12000</v>
      </c>
      <c r="L63" s="10">
        <f t="shared" si="5"/>
        <v>12000</v>
      </c>
      <c r="M63" s="11">
        <f t="shared" si="6"/>
        <v>2472000</v>
      </c>
    </row>
    <row r="64" spans="1:13" x14ac:dyDescent="0.2">
      <c r="A64" s="7">
        <v>34</v>
      </c>
      <c r="B64" s="59">
        <v>43218</v>
      </c>
      <c r="C64" s="9" t="s">
        <v>165</v>
      </c>
      <c r="D64" s="6"/>
      <c r="E64" s="6" t="s">
        <v>71</v>
      </c>
      <c r="F64" s="10"/>
      <c r="G64" s="10"/>
      <c r="H64" s="10"/>
      <c r="I64" s="62">
        <v>25000</v>
      </c>
      <c r="J64" s="10"/>
      <c r="K64" s="10"/>
      <c r="L64" s="10">
        <f t="shared" si="5"/>
        <v>25000</v>
      </c>
      <c r="M64" s="11">
        <f t="shared" si="6"/>
        <v>2447000</v>
      </c>
    </row>
    <row r="65" spans="1:13" x14ac:dyDescent="0.2">
      <c r="A65" s="7">
        <v>35</v>
      </c>
      <c r="B65" s="59">
        <v>43222</v>
      </c>
      <c r="C65" s="9" t="s">
        <v>166</v>
      </c>
      <c r="D65" s="6"/>
      <c r="E65" s="6" t="s">
        <v>72</v>
      </c>
      <c r="F65" s="10"/>
      <c r="G65" s="10"/>
      <c r="H65" s="10"/>
      <c r="I65" s="10"/>
      <c r="J65" s="10" t="s">
        <v>135</v>
      </c>
      <c r="K65" s="62">
        <v>30000</v>
      </c>
      <c r="L65" s="10">
        <f t="shared" si="5"/>
        <v>30000</v>
      </c>
      <c r="M65" s="11">
        <f t="shared" si="6"/>
        <v>2417000</v>
      </c>
    </row>
    <row r="66" spans="1:13" x14ac:dyDescent="0.2">
      <c r="A66" s="7">
        <v>36</v>
      </c>
      <c r="B66" s="59">
        <v>43222</v>
      </c>
      <c r="C66" s="9" t="s">
        <v>167</v>
      </c>
      <c r="D66" s="6"/>
      <c r="E66" s="6" t="s">
        <v>73</v>
      </c>
      <c r="F66" s="10"/>
      <c r="G66" s="10"/>
      <c r="H66" s="10"/>
      <c r="I66" s="10" t="s">
        <v>134</v>
      </c>
      <c r="J66" s="10"/>
      <c r="K66" s="62">
        <v>40000</v>
      </c>
      <c r="L66" s="10">
        <f t="shared" si="5"/>
        <v>40000</v>
      </c>
      <c r="M66" s="11">
        <f t="shared" si="6"/>
        <v>2377000</v>
      </c>
    </row>
    <row r="67" spans="1:13" x14ac:dyDescent="0.2">
      <c r="A67" s="7">
        <v>37</v>
      </c>
      <c r="B67" s="59">
        <v>43222</v>
      </c>
      <c r="C67" s="9" t="s">
        <v>149</v>
      </c>
      <c r="D67" s="6"/>
      <c r="E67" s="6" t="s">
        <v>74</v>
      </c>
      <c r="F67" s="10"/>
      <c r="G67" s="10"/>
      <c r="H67" s="62">
        <v>20000</v>
      </c>
      <c r="I67" s="10"/>
      <c r="J67" s="10"/>
      <c r="K67" s="10"/>
      <c r="L67" s="10">
        <f t="shared" si="5"/>
        <v>20000</v>
      </c>
      <c r="M67" s="11">
        <f t="shared" si="6"/>
        <v>2357000</v>
      </c>
    </row>
    <row r="68" spans="1:13" x14ac:dyDescent="0.2">
      <c r="A68" s="7">
        <v>38</v>
      </c>
      <c r="B68" s="59">
        <v>43222</v>
      </c>
      <c r="C68" s="9" t="s">
        <v>168</v>
      </c>
      <c r="D68" s="6"/>
      <c r="E68" s="6" t="s">
        <v>75</v>
      </c>
      <c r="F68" s="10"/>
      <c r="G68" s="10"/>
      <c r="H68" s="10"/>
      <c r="I68" s="10"/>
      <c r="J68" s="10"/>
      <c r="K68" s="62">
        <v>15000</v>
      </c>
      <c r="L68" s="10">
        <f t="shared" si="5"/>
        <v>15000</v>
      </c>
      <c r="M68" s="11">
        <f t="shared" si="6"/>
        <v>2342000</v>
      </c>
    </row>
    <row r="69" spans="1:13" x14ac:dyDescent="0.2">
      <c r="A69" s="7">
        <v>39</v>
      </c>
      <c r="B69" s="59">
        <v>43222</v>
      </c>
      <c r="C69" s="9" t="s">
        <v>169</v>
      </c>
      <c r="D69" s="6"/>
      <c r="E69" s="6" t="s">
        <v>76</v>
      </c>
      <c r="F69" s="10"/>
      <c r="G69" s="10"/>
      <c r="H69" s="10"/>
      <c r="I69" s="10"/>
      <c r="J69" s="10"/>
      <c r="K69" s="62">
        <v>24000</v>
      </c>
      <c r="L69" s="10">
        <f t="shared" si="5"/>
        <v>24000</v>
      </c>
      <c r="M69" s="11">
        <f t="shared" si="6"/>
        <v>2318000</v>
      </c>
    </row>
    <row r="70" spans="1:13" x14ac:dyDescent="0.2">
      <c r="A70" s="7">
        <v>40</v>
      </c>
      <c r="B70" s="59">
        <v>43224</v>
      </c>
      <c r="C70" s="9" t="s">
        <v>170</v>
      </c>
      <c r="D70" s="6"/>
      <c r="E70" s="6" t="s">
        <v>77</v>
      </c>
      <c r="F70" s="10"/>
      <c r="G70" s="62">
        <v>40000</v>
      </c>
      <c r="H70" s="10"/>
      <c r="I70" s="10"/>
      <c r="J70" s="10"/>
      <c r="K70" s="10"/>
      <c r="L70" s="10">
        <f t="shared" si="5"/>
        <v>40000</v>
      </c>
      <c r="M70" s="11">
        <f t="shared" si="6"/>
        <v>2278000</v>
      </c>
    </row>
    <row r="71" spans="1:13" x14ac:dyDescent="0.2">
      <c r="A71" s="7">
        <v>41</v>
      </c>
      <c r="B71" s="59">
        <v>43224</v>
      </c>
      <c r="C71" s="9" t="s">
        <v>171</v>
      </c>
      <c r="D71" s="6"/>
      <c r="E71" s="6" t="s">
        <v>78</v>
      </c>
      <c r="F71" s="10"/>
      <c r="G71" s="10"/>
      <c r="H71" s="10"/>
      <c r="I71" s="10"/>
      <c r="J71" s="10"/>
      <c r="K71" s="62">
        <v>8000</v>
      </c>
      <c r="L71" s="10">
        <f t="shared" si="5"/>
        <v>8000</v>
      </c>
      <c r="M71" s="11">
        <f t="shared" si="6"/>
        <v>2270000</v>
      </c>
    </row>
    <row r="72" spans="1:13" x14ac:dyDescent="0.2">
      <c r="A72" s="7">
        <v>42</v>
      </c>
      <c r="B72" s="59">
        <v>43224</v>
      </c>
      <c r="C72" s="9" t="s">
        <v>172</v>
      </c>
      <c r="D72" s="6"/>
      <c r="E72" s="6" t="s">
        <v>79</v>
      </c>
      <c r="F72" s="10"/>
      <c r="G72" s="10"/>
      <c r="H72" s="10"/>
      <c r="I72" s="10"/>
      <c r="J72" s="10">
        <v>2070000</v>
      </c>
      <c r="K72" s="10"/>
      <c r="L72" s="10">
        <f t="shared" si="5"/>
        <v>2070000</v>
      </c>
      <c r="M72" s="11">
        <f t="shared" si="6"/>
        <v>200000</v>
      </c>
    </row>
    <row r="73" spans="1:13" x14ac:dyDescent="0.2">
      <c r="A73" s="7">
        <v>43</v>
      </c>
      <c r="B73" s="59">
        <v>43225</v>
      </c>
      <c r="C73" s="9" t="s">
        <v>172</v>
      </c>
      <c r="D73" s="6"/>
      <c r="E73" s="6" t="s">
        <v>80</v>
      </c>
      <c r="F73" s="10"/>
      <c r="G73" s="10"/>
      <c r="H73" s="10"/>
      <c r="I73" s="10"/>
      <c r="J73" s="10">
        <v>120000</v>
      </c>
      <c r="K73" s="10"/>
      <c r="L73" s="10">
        <f t="shared" si="5"/>
        <v>120000</v>
      </c>
      <c r="M73" s="11">
        <f t="shared" si="6"/>
        <v>80000</v>
      </c>
    </row>
    <row r="74" spans="1:13" x14ac:dyDescent="0.2">
      <c r="A74" s="7"/>
      <c r="B74" s="59">
        <v>43215</v>
      </c>
      <c r="C74" s="9" t="s">
        <v>149</v>
      </c>
      <c r="D74" s="6"/>
      <c r="E74" s="6" t="s">
        <v>80</v>
      </c>
      <c r="F74" s="10"/>
      <c r="G74" s="10"/>
      <c r="H74" s="10">
        <v>20000</v>
      </c>
      <c r="I74" s="10"/>
      <c r="J74" s="10"/>
      <c r="K74" s="10"/>
      <c r="L74" s="10">
        <f t="shared" si="5"/>
        <v>20000</v>
      </c>
      <c r="M74" s="11">
        <f t="shared" si="6"/>
        <v>60000</v>
      </c>
    </row>
    <row r="75" spans="1:13" x14ac:dyDescent="0.2">
      <c r="A75" s="7">
        <v>44</v>
      </c>
      <c r="B75" s="59"/>
      <c r="C75" s="9"/>
      <c r="D75" s="6"/>
      <c r="E75" s="6" t="s">
        <v>81</v>
      </c>
      <c r="F75" s="10"/>
      <c r="G75" s="10"/>
      <c r="H75" s="10"/>
      <c r="I75" s="10"/>
      <c r="J75" s="10"/>
      <c r="K75" s="10"/>
      <c r="L75" s="10">
        <f t="shared" si="5"/>
        <v>0</v>
      </c>
      <c r="M75" s="11">
        <f t="shared" si="6"/>
        <v>60000</v>
      </c>
    </row>
    <row r="76" spans="1:13" x14ac:dyDescent="0.2">
      <c r="A76" s="7">
        <v>45</v>
      </c>
      <c r="B76" s="59"/>
      <c r="C76" s="9"/>
      <c r="D76" s="6"/>
      <c r="E76" s="6" t="s">
        <v>82</v>
      </c>
      <c r="F76" s="10"/>
      <c r="G76" s="10"/>
      <c r="H76" s="10"/>
      <c r="I76" s="10"/>
      <c r="J76" s="10"/>
      <c r="K76" s="10"/>
      <c r="L76" s="10">
        <f t="shared" si="5"/>
        <v>0</v>
      </c>
      <c r="M76" s="11">
        <f t="shared" si="6"/>
        <v>60000</v>
      </c>
    </row>
    <row r="77" spans="1:13" x14ac:dyDescent="0.2">
      <c r="A77" s="7">
        <v>46</v>
      </c>
      <c r="B77" s="59"/>
      <c r="C77" s="9"/>
      <c r="D77" s="6"/>
      <c r="E77" s="6" t="s">
        <v>83</v>
      </c>
      <c r="F77" s="10" t="s">
        <v>134</v>
      </c>
      <c r="G77" s="10"/>
      <c r="H77" s="10"/>
      <c r="I77" s="10"/>
      <c r="J77" s="10"/>
      <c r="K77" s="10"/>
      <c r="L77" s="10">
        <f t="shared" si="5"/>
        <v>0</v>
      </c>
      <c r="M77" s="11">
        <f t="shared" si="6"/>
        <v>60000</v>
      </c>
    </row>
    <row r="78" spans="1:13" x14ac:dyDescent="0.2">
      <c r="A78" s="7">
        <v>47</v>
      </c>
      <c r="B78" s="59"/>
      <c r="C78" s="9"/>
      <c r="D78" s="6"/>
      <c r="E78" s="6" t="s">
        <v>84</v>
      </c>
      <c r="F78" s="10"/>
      <c r="G78" s="10"/>
      <c r="H78" s="10"/>
      <c r="I78" s="10"/>
      <c r="J78" s="10"/>
      <c r="K78" s="10"/>
      <c r="L78" s="10">
        <f t="shared" si="5"/>
        <v>0</v>
      </c>
      <c r="M78" s="11">
        <f t="shared" si="6"/>
        <v>60000</v>
      </c>
    </row>
    <row r="79" spans="1:13" x14ac:dyDescent="0.2">
      <c r="A79" s="7">
        <v>48</v>
      </c>
      <c r="B79" s="59"/>
      <c r="C79" s="9"/>
      <c r="D79" s="6"/>
      <c r="E79" s="6" t="s">
        <v>85</v>
      </c>
      <c r="F79" s="10"/>
      <c r="G79" s="10"/>
      <c r="H79" s="10"/>
      <c r="I79" s="10"/>
      <c r="J79" s="10"/>
      <c r="K79" s="10"/>
      <c r="L79" s="10">
        <f t="shared" si="5"/>
        <v>0</v>
      </c>
      <c r="M79" s="11">
        <f t="shared" si="6"/>
        <v>60000</v>
      </c>
    </row>
    <row r="80" spans="1:13" x14ac:dyDescent="0.2">
      <c r="A80" s="7">
        <v>49</v>
      </c>
      <c r="B80" s="59"/>
      <c r="C80" s="9"/>
      <c r="D80" s="6"/>
      <c r="E80" s="6" t="s">
        <v>86</v>
      </c>
      <c r="F80" s="10"/>
      <c r="G80" s="10"/>
      <c r="H80" s="10"/>
      <c r="I80" s="10"/>
      <c r="J80" s="10"/>
      <c r="K80" s="10"/>
      <c r="L80" s="10">
        <f t="shared" si="5"/>
        <v>0</v>
      </c>
      <c r="M80" s="11">
        <f t="shared" si="6"/>
        <v>60000</v>
      </c>
    </row>
    <row r="81" spans="1:13" x14ac:dyDescent="0.2">
      <c r="A81" s="7">
        <v>50</v>
      </c>
      <c r="B81" s="59"/>
      <c r="C81" s="9"/>
      <c r="D81" s="6"/>
      <c r="E81" s="6" t="s">
        <v>87</v>
      </c>
      <c r="F81" s="10" t="s">
        <v>134</v>
      </c>
      <c r="G81" s="10"/>
      <c r="H81" s="10"/>
      <c r="I81" s="10"/>
      <c r="J81" s="10" t="s">
        <v>134</v>
      </c>
      <c r="K81" s="10"/>
      <c r="L81" s="10">
        <f t="shared" si="5"/>
        <v>0</v>
      </c>
      <c r="M81" s="11">
        <f t="shared" si="6"/>
        <v>60000</v>
      </c>
    </row>
    <row r="82" spans="1:13" x14ac:dyDescent="0.2">
      <c r="A82" s="7">
        <v>51</v>
      </c>
      <c r="B82" s="59"/>
      <c r="C82" s="9"/>
      <c r="D82" s="6"/>
      <c r="E82" s="6" t="s">
        <v>88</v>
      </c>
      <c r="F82" s="10"/>
      <c r="G82" s="10"/>
      <c r="H82" s="10"/>
      <c r="I82" s="10"/>
      <c r="J82" s="10"/>
      <c r="K82" s="10"/>
      <c r="L82" s="10">
        <f t="shared" si="5"/>
        <v>0</v>
      </c>
      <c r="M82" s="11">
        <f t="shared" si="6"/>
        <v>60000</v>
      </c>
    </row>
    <row r="83" spans="1:13" x14ac:dyDescent="0.2">
      <c r="A83" s="7">
        <v>52</v>
      </c>
      <c r="B83" s="8"/>
      <c r="C83" s="9"/>
      <c r="D83" s="6"/>
      <c r="E83" s="6" t="s">
        <v>89</v>
      </c>
      <c r="F83" s="10"/>
      <c r="G83" s="10"/>
      <c r="H83" s="10"/>
      <c r="I83" s="10"/>
      <c r="J83" s="10"/>
      <c r="K83" s="10"/>
      <c r="L83" s="10">
        <f t="shared" si="5"/>
        <v>0</v>
      </c>
      <c r="M83" s="11">
        <f t="shared" si="6"/>
        <v>60000</v>
      </c>
    </row>
    <row r="84" spans="1:13" x14ac:dyDescent="0.2">
      <c r="A84" s="7">
        <v>53</v>
      </c>
      <c r="B84" s="8"/>
      <c r="C84" s="9"/>
      <c r="D84" s="6"/>
      <c r="E84" s="6" t="s">
        <v>90</v>
      </c>
      <c r="F84" s="10"/>
      <c r="G84" s="10"/>
      <c r="H84" s="10"/>
      <c r="I84" s="10"/>
      <c r="J84" s="10"/>
      <c r="K84" s="10"/>
      <c r="L84" s="10">
        <f t="shared" si="5"/>
        <v>0</v>
      </c>
      <c r="M84" s="11">
        <f t="shared" si="6"/>
        <v>60000</v>
      </c>
    </row>
    <row r="85" spans="1:13" x14ac:dyDescent="0.2">
      <c r="A85" s="7">
        <v>54</v>
      </c>
      <c r="B85" s="8"/>
      <c r="C85" s="9"/>
      <c r="D85" s="6"/>
      <c r="E85" s="6" t="s">
        <v>91</v>
      </c>
      <c r="F85" s="10"/>
      <c r="G85" s="10"/>
      <c r="H85" s="10"/>
      <c r="I85" s="10"/>
      <c r="J85" s="10"/>
      <c r="K85" s="10"/>
      <c r="L85" s="10">
        <f t="shared" si="5"/>
        <v>0</v>
      </c>
      <c r="M85" s="11">
        <f t="shared" si="6"/>
        <v>60000</v>
      </c>
    </row>
    <row r="86" spans="1:13" x14ac:dyDescent="0.2">
      <c r="A86" s="7">
        <v>55</v>
      </c>
      <c r="B86" s="8"/>
      <c r="C86" s="9"/>
      <c r="D86" s="6"/>
      <c r="E86" s="6" t="s">
        <v>92</v>
      </c>
      <c r="F86" s="10"/>
      <c r="G86" s="10"/>
      <c r="H86" s="10"/>
      <c r="I86" s="10"/>
      <c r="J86" s="10"/>
      <c r="K86" s="10"/>
      <c r="L86" s="10">
        <f t="shared" si="5"/>
        <v>0</v>
      </c>
      <c r="M86" s="11">
        <f t="shared" si="6"/>
        <v>60000</v>
      </c>
    </row>
    <row r="87" spans="1:13" x14ac:dyDescent="0.2">
      <c r="A87" s="7">
        <v>56</v>
      </c>
      <c r="B87" s="8"/>
      <c r="C87" s="9"/>
      <c r="D87" s="6"/>
      <c r="E87" s="6" t="s">
        <v>93</v>
      </c>
      <c r="F87" s="10"/>
      <c r="G87" s="10"/>
      <c r="H87" s="10"/>
      <c r="I87" s="10"/>
      <c r="J87" s="10"/>
      <c r="K87" s="10"/>
      <c r="L87" s="10">
        <f t="shared" si="5"/>
        <v>0</v>
      </c>
      <c r="M87" s="11">
        <f t="shared" si="6"/>
        <v>60000</v>
      </c>
    </row>
    <row r="88" spans="1:13" x14ac:dyDescent="0.2">
      <c r="A88" s="7">
        <v>57</v>
      </c>
      <c r="B88" s="8"/>
      <c r="C88" s="9"/>
      <c r="D88" s="6"/>
      <c r="E88" s="6" t="s">
        <v>94</v>
      </c>
      <c r="F88" s="10"/>
      <c r="G88" s="10"/>
      <c r="H88" s="10"/>
      <c r="I88" s="10"/>
      <c r="J88" s="10"/>
      <c r="K88" s="10"/>
      <c r="L88" s="10">
        <f t="shared" si="5"/>
        <v>0</v>
      </c>
      <c r="M88" s="11">
        <f t="shared" si="6"/>
        <v>60000</v>
      </c>
    </row>
    <row r="89" spans="1:13" x14ac:dyDescent="0.2">
      <c r="A89" s="7">
        <v>58</v>
      </c>
      <c r="B89" s="8"/>
      <c r="C89" s="9"/>
      <c r="D89" s="6"/>
      <c r="E89" s="6" t="s">
        <v>95</v>
      </c>
      <c r="F89" s="10"/>
      <c r="G89" s="10"/>
      <c r="H89" s="10"/>
      <c r="I89" s="10"/>
      <c r="J89" s="10"/>
      <c r="K89" s="10"/>
      <c r="L89" s="10">
        <f t="shared" si="5"/>
        <v>0</v>
      </c>
      <c r="M89" s="11">
        <f t="shared" si="6"/>
        <v>60000</v>
      </c>
    </row>
    <row r="90" spans="1:13" x14ac:dyDescent="0.2">
      <c r="A90" s="7">
        <v>59</v>
      </c>
      <c r="B90" s="8"/>
      <c r="C90" s="9"/>
      <c r="D90" s="6"/>
      <c r="E90" s="6" t="s">
        <v>96</v>
      </c>
      <c r="F90" s="10"/>
      <c r="G90" s="10"/>
      <c r="H90" s="10"/>
      <c r="I90" s="10"/>
      <c r="J90" s="10"/>
      <c r="K90" s="10"/>
      <c r="L90" s="10">
        <f t="shared" si="5"/>
        <v>0</v>
      </c>
      <c r="M90" s="11">
        <f t="shared" si="6"/>
        <v>60000</v>
      </c>
    </row>
    <row r="91" spans="1:13" x14ac:dyDescent="0.2">
      <c r="A91" s="7">
        <v>60</v>
      </c>
      <c r="B91" s="8"/>
      <c r="C91" s="9"/>
      <c r="D91" s="6"/>
      <c r="E91" s="6" t="s">
        <v>97</v>
      </c>
      <c r="F91" s="10"/>
      <c r="G91" s="10"/>
      <c r="H91" s="10"/>
      <c r="I91" s="10"/>
      <c r="J91" s="10"/>
      <c r="K91" s="10"/>
      <c r="L91" s="10">
        <f t="shared" si="5"/>
        <v>0</v>
      </c>
      <c r="M91" s="11">
        <f t="shared" si="6"/>
        <v>60000</v>
      </c>
    </row>
    <row r="92" spans="1:13" x14ac:dyDescent="0.2">
      <c r="A92" s="7">
        <v>61</v>
      </c>
      <c r="B92" s="8"/>
      <c r="C92" s="9"/>
      <c r="D92" s="6"/>
      <c r="E92" s="6" t="s">
        <v>98</v>
      </c>
      <c r="F92" s="10"/>
      <c r="G92" s="10"/>
      <c r="H92" s="10"/>
      <c r="I92" s="10"/>
      <c r="J92" s="10"/>
      <c r="K92" s="10"/>
      <c r="L92" s="10">
        <f t="shared" si="5"/>
        <v>0</v>
      </c>
      <c r="M92" s="11">
        <f t="shared" si="6"/>
        <v>60000</v>
      </c>
    </row>
    <row r="93" spans="1:13" x14ac:dyDescent="0.2">
      <c r="A93" s="7">
        <v>62</v>
      </c>
      <c r="B93" s="8"/>
      <c r="C93" s="9"/>
      <c r="D93" s="6"/>
      <c r="E93" s="6" t="s">
        <v>99</v>
      </c>
      <c r="F93" s="10"/>
      <c r="G93" s="10"/>
      <c r="H93" s="10"/>
      <c r="I93" s="10"/>
      <c r="J93" s="10"/>
      <c r="K93" s="10"/>
      <c r="L93" s="10">
        <f t="shared" si="5"/>
        <v>0</v>
      </c>
      <c r="M93" s="11">
        <f t="shared" si="6"/>
        <v>60000</v>
      </c>
    </row>
    <row r="94" spans="1:13" x14ac:dyDescent="0.2">
      <c r="A94" s="7">
        <v>63</v>
      </c>
      <c r="B94" s="8"/>
      <c r="C94" s="9"/>
      <c r="D94" s="6"/>
      <c r="E94" s="6" t="s">
        <v>100</v>
      </c>
      <c r="F94" s="10"/>
      <c r="G94" s="10"/>
      <c r="H94" s="10"/>
      <c r="I94" s="10"/>
      <c r="J94" s="10"/>
      <c r="K94" s="10"/>
      <c r="L94" s="10">
        <f t="shared" si="5"/>
        <v>0</v>
      </c>
      <c r="M94" s="11">
        <f t="shared" si="6"/>
        <v>60000</v>
      </c>
    </row>
    <row r="95" spans="1:13" x14ac:dyDescent="0.2">
      <c r="A95" s="7">
        <v>64</v>
      </c>
      <c r="B95" s="8"/>
      <c r="C95" s="9"/>
      <c r="D95" s="6"/>
      <c r="E95" s="6" t="s">
        <v>101</v>
      </c>
      <c r="F95" s="10"/>
      <c r="G95" s="10"/>
      <c r="H95" s="10"/>
      <c r="I95" s="10"/>
      <c r="J95" s="10"/>
      <c r="K95" s="10"/>
      <c r="L95" s="10">
        <f t="shared" si="5"/>
        <v>0</v>
      </c>
      <c r="M95" s="11">
        <f t="shared" si="6"/>
        <v>60000</v>
      </c>
    </row>
    <row r="96" spans="1:13" x14ac:dyDescent="0.2">
      <c r="A96" s="7">
        <v>65</v>
      </c>
      <c r="B96" s="8"/>
      <c r="C96" s="9"/>
      <c r="D96" s="6"/>
      <c r="E96" s="6" t="s">
        <v>102</v>
      </c>
      <c r="F96" s="10"/>
      <c r="G96" s="10"/>
      <c r="H96" s="10"/>
      <c r="I96" s="10"/>
      <c r="J96" s="10"/>
      <c r="K96" s="10"/>
      <c r="L96" s="10">
        <f t="shared" si="5"/>
        <v>0</v>
      </c>
      <c r="M96" s="11">
        <f t="shared" si="6"/>
        <v>60000</v>
      </c>
    </row>
    <row r="97" spans="1:13" x14ac:dyDescent="0.2">
      <c r="A97" s="7">
        <v>66</v>
      </c>
      <c r="B97" s="8"/>
      <c r="C97" s="9"/>
      <c r="D97" s="6"/>
      <c r="E97" s="6" t="s">
        <v>103</v>
      </c>
      <c r="F97" s="10"/>
      <c r="G97" s="10"/>
      <c r="H97" s="10"/>
      <c r="I97" s="10"/>
      <c r="J97" s="10"/>
      <c r="K97" s="10"/>
      <c r="L97" s="10">
        <f t="shared" si="5"/>
        <v>0</v>
      </c>
      <c r="M97" s="11">
        <f t="shared" si="6"/>
        <v>60000</v>
      </c>
    </row>
    <row r="98" spans="1:13" x14ac:dyDescent="0.2">
      <c r="A98" s="7">
        <v>67</v>
      </c>
      <c r="B98" s="8"/>
      <c r="C98" s="9"/>
      <c r="D98" s="6"/>
      <c r="E98" s="6" t="s">
        <v>104</v>
      </c>
      <c r="F98" s="10"/>
      <c r="G98" s="10"/>
      <c r="H98" s="10"/>
      <c r="I98" s="10"/>
      <c r="J98" s="10"/>
      <c r="K98" s="10"/>
      <c r="L98" s="10">
        <f t="shared" ref="L98:L106" si="7">SUM(G98:K98)</f>
        <v>0</v>
      </c>
      <c r="M98" s="11">
        <f t="shared" si="6"/>
        <v>60000</v>
      </c>
    </row>
    <row r="99" spans="1:13" x14ac:dyDescent="0.2">
      <c r="A99" s="7">
        <v>68</v>
      </c>
      <c r="B99" s="8"/>
      <c r="C99" s="9"/>
      <c r="D99" s="6"/>
      <c r="E99" s="6" t="s">
        <v>105</v>
      </c>
      <c r="F99" s="10"/>
      <c r="G99" s="10"/>
      <c r="H99" s="10"/>
      <c r="I99" s="10"/>
      <c r="J99" s="10"/>
      <c r="K99" s="10"/>
      <c r="L99" s="10">
        <f t="shared" si="7"/>
        <v>0</v>
      </c>
      <c r="M99" s="11">
        <f t="shared" si="6"/>
        <v>60000</v>
      </c>
    </row>
    <row r="100" spans="1:13" x14ac:dyDescent="0.2">
      <c r="A100" s="7">
        <v>69</v>
      </c>
      <c r="B100" s="8"/>
      <c r="C100" s="9"/>
      <c r="D100" s="6"/>
      <c r="E100" s="6" t="s">
        <v>106</v>
      </c>
      <c r="F100" s="10"/>
      <c r="G100" s="10"/>
      <c r="H100" s="10"/>
      <c r="I100" s="10"/>
      <c r="J100" s="10"/>
      <c r="K100" s="10"/>
      <c r="L100" s="10">
        <f t="shared" si="7"/>
        <v>0</v>
      </c>
      <c r="M100" s="11">
        <f t="shared" si="6"/>
        <v>60000</v>
      </c>
    </row>
    <row r="101" spans="1:13" x14ac:dyDescent="0.2">
      <c r="A101" s="7">
        <v>70</v>
      </c>
      <c r="B101" s="8"/>
      <c r="C101" s="9"/>
      <c r="D101" s="6"/>
      <c r="E101" s="6" t="s">
        <v>107</v>
      </c>
      <c r="F101" s="10"/>
      <c r="G101" s="10"/>
      <c r="H101" s="10"/>
      <c r="I101" s="10"/>
      <c r="J101" s="10"/>
      <c r="K101" s="10"/>
      <c r="L101" s="10">
        <f t="shared" si="7"/>
        <v>0</v>
      </c>
      <c r="M101" s="11">
        <f t="shared" si="6"/>
        <v>60000</v>
      </c>
    </row>
    <row r="102" spans="1:13" x14ac:dyDescent="0.2">
      <c r="A102" s="7">
        <v>71</v>
      </c>
      <c r="B102" s="8"/>
      <c r="C102" s="9"/>
      <c r="D102" s="6"/>
      <c r="E102" s="6" t="s">
        <v>108</v>
      </c>
      <c r="F102" s="10"/>
      <c r="G102" s="10"/>
      <c r="H102" s="10"/>
      <c r="I102" s="10"/>
      <c r="J102" s="10"/>
      <c r="K102" s="10"/>
      <c r="L102" s="10">
        <f t="shared" si="7"/>
        <v>0</v>
      </c>
      <c r="M102" s="11">
        <f t="shared" si="6"/>
        <v>60000</v>
      </c>
    </row>
    <row r="103" spans="1:13" x14ac:dyDescent="0.2">
      <c r="A103" s="7">
        <v>72</v>
      </c>
      <c r="B103" s="8"/>
      <c r="C103" s="9"/>
      <c r="D103" s="6"/>
      <c r="E103" s="6" t="s">
        <v>137</v>
      </c>
      <c r="F103" s="10"/>
      <c r="G103" s="10"/>
      <c r="H103" s="10"/>
      <c r="I103" s="10"/>
      <c r="J103" s="10"/>
      <c r="K103" s="10"/>
      <c r="L103" s="10">
        <f t="shared" si="7"/>
        <v>0</v>
      </c>
      <c r="M103" s="11">
        <f t="shared" si="6"/>
        <v>60000</v>
      </c>
    </row>
    <row r="104" spans="1:13" x14ac:dyDescent="0.2">
      <c r="A104" s="7">
        <v>73</v>
      </c>
      <c r="B104" s="8"/>
      <c r="C104" s="9"/>
      <c r="D104" s="6"/>
      <c r="E104" s="6" t="s">
        <v>138</v>
      </c>
      <c r="F104" s="10"/>
      <c r="G104" s="10"/>
      <c r="H104" s="10"/>
      <c r="I104" s="10"/>
      <c r="J104" s="10"/>
      <c r="K104" s="10"/>
      <c r="L104" s="10">
        <f t="shared" si="7"/>
        <v>0</v>
      </c>
      <c r="M104" s="11">
        <f t="shared" si="6"/>
        <v>60000</v>
      </c>
    </row>
    <row r="105" spans="1:13" x14ac:dyDescent="0.2">
      <c r="A105" s="7">
        <v>74</v>
      </c>
      <c r="B105" s="8"/>
      <c r="C105" s="9"/>
      <c r="D105" s="6"/>
      <c r="E105" s="6" t="s">
        <v>139</v>
      </c>
      <c r="F105" s="10"/>
      <c r="G105" s="10"/>
      <c r="H105" s="10"/>
      <c r="I105" s="10"/>
      <c r="J105" s="10"/>
      <c r="K105" s="10"/>
      <c r="L105" s="10">
        <f t="shared" si="7"/>
        <v>0</v>
      </c>
      <c r="M105" s="11">
        <f t="shared" si="6"/>
        <v>60000</v>
      </c>
    </row>
    <row r="106" spans="1:13" ht="13.5" thickBot="1" x14ac:dyDescent="0.25">
      <c r="A106" s="7"/>
      <c r="B106" s="6"/>
      <c r="C106" s="12"/>
      <c r="D106" s="6"/>
      <c r="E106" s="6"/>
      <c r="F106" s="10"/>
      <c r="G106" s="10"/>
      <c r="H106" s="10"/>
      <c r="I106" s="10"/>
      <c r="J106" s="10"/>
      <c r="K106" s="10"/>
      <c r="L106" s="10">
        <f t="shared" si="7"/>
        <v>0</v>
      </c>
      <c r="M106" s="11">
        <f t="shared" si="6"/>
        <v>60000</v>
      </c>
    </row>
    <row r="107" spans="1:13" ht="13.5" thickBot="1" x14ac:dyDescent="0.25">
      <c r="A107" s="69" t="s">
        <v>14</v>
      </c>
      <c r="B107" s="70"/>
      <c r="C107" s="70"/>
      <c r="D107" s="13"/>
      <c r="E107" s="13"/>
      <c r="F107" s="14">
        <f t="shared" ref="F107:G107" si="8">SUM(F33:F106)</f>
        <v>4000000</v>
      </c>
      <c r="G107" s="14">
        <f t="shared" si="8"/>
        <v>169500</v>
      </c>
      <c r="H107" s="14">
        <f>SUM(H33:H106)</f>
        <v>50000</v>
      </c>
      <c r="I107" s="14">
        <f t="shared" ref="I107:L107" si="9">SUM(I33:I106)</f>
        <v>843000</v>
      </c>
      <c r="J107" s="15">
        <f t="shared" si="9"/>
        <v>2190000</v>
      </c>
      <c r="K107" s="15">
        <f t="shared" si="9"/>
        <v>687500</v>
      </c>
      <c r="L107" s="15">
        <f t="shared" si="9"/>
        <v>3940000</v>
      </c>
      <c r="M107" s="16">
        <f>F107-L107</f>
        <v>60000</v>
      </c>
    </row>
    <row r="108" spans="1:13" ht="14.25" x14ac:dyDescent="0.2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9"/>
    </row>
    <row r="109" spans="1:13" ht="14.25" x14ac:dyDescent="0.2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3" t="s">
        <v>175</v>
      </c>
      <c r="L109" s="18"/>
      <c r="M109" s="60"/>
    </row>
    <row r="110" spans="1:13" ht="15" x14ac:dyDescent="0.2">
      <c r="A110" s="18"/>
      <c r="B110" s="18"/>
      <c r="C110" s="26" t="s">
        <v>109</v>
      </c>
      <c r="D110" s="26"/>
      <c r="E110" s="26"/>
      <c r="F110" s="26"/>
      <c r="G110" s="26"/>
      <c r="H110" s="26"/>
      <c r="I110" s="26"/>
      <c r="J110" s="26"/>
      <c r="K110" s="27" t="s">
        <v>39</v>
      </c>
      <c r="L110" s="2"/>
      <c r="M110" s="2"/>
    </row>
    <row r="111" spans="1:13" ht="15" x14ac:dyDescent="0.2">
      <c r="A111" s="18"/>
      <c r="B111" s="18"/>
      <c r="C111" s="26"/>
      <c r="D111" s="26"/>
      <c r="E111" s="26"/>
      <c r="F111" s="26"/>
      <c r="G111" s="26"/>
      <c r="H111" s="26"/>
      <c r="I111" s="26"/>
      <c r="J111" s="26"/>
      <c r="K111" s="27"/>
      <c r="L111" s="2"/>
      <c r="M111" s="2"/>
    </row>
    <row r="112" spans="1:13" ht="15" x14ac:dyDescent="0.2">
      <c r="A112" s="18"/>
      <c r="B112" s="18"/>
      <c r="C112" s="26"/>
      <c r="D112" s="26"/>
      <c r="E112" s="26"/>
      <c r="F112" s="26"/>
      <c r="G112" s="26"/>
      <c r="H112" s="26"/>
      <c r="I112" s="26"/>
      <c r="J112" s="26"/>
      <c r="K112" s="27"/>
      <c r="L112" s="2"/>
      <c r="M112" s="2"/>
    </row>
    <row r="113" spans="1:13" ht="15" x14ac:dyDescent="0.2">
      <c r="A113" s="18"/>
      <c r="B113" s="18"/>
      <c r="C113" s="28" t="s">
        <v>174</v>
      </c>
      <c r="D113" s="29"/>
      <c r="E113" s="29"/>
      <c r="F113" s="29"/>
      <c r="G113" s="29"/>
      <c r="H113" s="29"/>
      <c r="I113" s="29"/>
      <c r="J113" s="26"/>
      <c r="K113" s="30" t="s">
        <v>173</v>
      </c>
      <c r="L113" s="2"/>
      <c r="M113" s="2"/>
    </row>
  </sheetData>
  <mergeCells count="24">
    <mergeCell ref="A29:M29"/>
    <mergeCell ref="A31:A32"/>
    <mergeCell ref="B31:B32"/>
    <mergeCell ref="C31:C32"/>
    <mergeCell ref="D31:E31"/>
    <mergeCell ref="F31:F32"/>
    <mergeCell ref="G31:L31"/>
    <mergeCell ref="M31:M32"/>
    <mergeCell ref="A107:C107"/>
    <mergeCell ref="A1:M1"/>
    <mergeCell ref="A2:M2"/>
    <mergeCell ref="A4:M4"/>
    <mergeCell ref="M6:M7"/>
    <mergeCell ref="D6:E6"/>
    <mergeCell ref="A3:M3"/>
    <mergeCell ref="F6:F7"/>
    <mergeCell ref="A19:C19"/>
    <mergeCell ref="B6:B7"/>
    <mergeCell ref="G6:L6"/>
    <mergeCell ref="C6:C7"/>
    <mergeCell ref="A6:A7"/>
    <mergeCell ref="A26:M26"/>
    <mergeCell ref="A27:M27"/>
    <mergeCell ref="A28:M28"/>
  </mergeCells>
  <phoneticPr fontId="3" type="noConversion"/>
  <printOptions horizontalCentered="1"/>
  <pageMargins left="0.39370078740157483" right="0.39370078740157483" top="0.98425196850393704" bottom="0.23622047244094491" header="0.51181102362204722" footer="0.51181102362204722"/>
  <pageSetup paperSize="5" orientation="landscape" horizontalDpi="4294967293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F6" sqref="F6"/>
    </sheetView>
  </sheetViews>
  <sheetFormatPr defaultRowHeight="12.75" x14ac:dyDescent="0.2"/>
  <cols>
    <col min="2" max="2" width="21.28515625" customWidth="1"/>
    <col min="5" max="6" width="17.140625" customWidth="1"/>
    <col min="7" max="7" width="22.28515625" customWidth="1"/>
  </cols>
  <sheetData>
    <row r="1" spans="1:7" ht="15.75" x14ac:dyDescent="0.25">
      <c r="A1" s="88" t="s">
        <v>116</v>
      </c>
      <c r="B1" s="88"/>
      <c r="C1" s="88"/>
      <c r="D1" s="88"/>
      <c r="E1" s="88"/>
      <c r="F1" s="88"/>
      <c r="G1" s="88"/>
    </row>
    <row r="2" spans="1:7" ht="15.75" x14ac:dyDescent="0.25">
      <c r="A2" s="66" t="s">
        <v>177</v>
      </c>
      <c r="B2" s="66"/>
      <c r="C2" s="66"/>
      <c r="D2" s="66"/>
      <c r="E2" s="66"/>
      <c r="F2" s="66"/>
      <c r="G2" s="66"/>
    </row>
    <row r="3" spans="1:7" ht="15.75" x14ac:dyDescent="0.25">
      <c r="A3" s="89" t="s">
        <v>117</v>
      </c>
      <c r="B3" s="89"/>
      <c r="C3" s="89"/>
      <c r="D3" s="89"/>
      <c r="E3" s="89"/>
      <c r="F3" s="89"/>
      <c r="G3" s="89"/>
    </row>
    <row r="4" spans="1:7" ht="15.75" x14ac:dyDescent="0.25">
      <c r="A4" s="88" t="s">
        <v>141</v>
      </c>
      <c r="B4" s="88"/>
      <c r="C4" s="88"/>
      <c r="D4" s="88"/>
      <c r="E4" s="88"/>
      <c r="F4" s="88"/>
      <c r="G4" s="88"/>
    </row>
    <row r="6" spans="1:7" ht="16.5" thickBot="1" x14ac:dyDescent="0.3">
      <c r="A6" s="31" t="s">
        <v>0</v>
      </c>
      <c r="B6" s="31" t="s">
        <v>118</v>
      </c>
      <c r="C6" s="31" t="s">
        <v>119</v>
      </c>
      <c r="D6" s="31" t="s">
        <v>120</v>
      </c>
      <c r="E6" s="31" t="s">
        <v>121</v>
      </c>
      <c r="F6" s="31" t="s">
        <v>132</v>
      </c>
      <c r="G6" s="31" t="s">
        <v>122</v>
      </c>
    </row>
    <row r="7" spans="1:7" ht="15.75" thickTop="1" x14ac:dyDescent="0.2">
      <c r="A7" s="32">
        <v>1</v>
      </c>
      <c r="B7" s="33" t="s">
        <v>123</v>
      </c>
      <c r="C7" s="32">
        <v>3</v>
      </c>
      <c r="D7" s="32">
        <v>3</v>
      </c>
      <c r="E7" s="34">
        <v>35000</v>
      </c>
      <c r="F7" s="34"/>
      <c r="G7" s="35">
        <f>C7*D7*E7+F7</f>
        <v>315000</v>
      </c>
    </row>
    <row r="8" spans="1:7" ht="15" x14ac:dyDescent="0.2">
      <c r="A8" s="36">
        <v>2</v>
      </c>
      <c r="B8" s="37" t="s">
        <v>124</v>
      </c>
      <c r="C8" s="36">
        <v>3</v>
      </c>
      <c r="D8" s="36">
        <v>2</v>
      </c>
      <c r="E8" s="38">
        <v>35000</v>
      </c>
      <c r="F8" s="38"/>
      <c r="G8" s="35">
        <f t="shared" ref="G8:G16" si="0">C8*D8*E8+F8</f>
        <v>210000</v>
      </c>
    </row>
    <row r="9" spans="1:7" ht="15" x14ac:dyDescent="0.2">
      <c r="A9" s="36">
        <v>3</v>
      </c>
      <c r="B9" s="37" t="s">
        <v>125</v>
      </c>
      <c r="C9" s="36">
        <v>3</v>
      </c>
      <c r="D9" s="36">
        <v>2</v>
      </c>
      <c r="E9" s="38">
        <v>35000</v>
      </c>
      <c r="F9" s="38"/>
      <c r="G9" s="35">
        <f t="shared" si="0"/>
        <v>210000</v>
      </c>
    </row>
    <row r="10" spans="1:7" ht="15" x14ac:dyDescent="0.2">
      <c r="A10" s="36">
        <v>4</v>
      </c>
      <c r="B10" s="37" t="s">
        <v>126</v>
      </c>
      <c r="C10" s="36">
        <v>6</v>
      </c>
      <c r="D10" s="36">
        <v>1</v>
      </c>
      <c r="E10" s="38">
        <v>45000</v>
      </c>
      <c r="F10" s="38">
        <v>20000</v>
      </c>
      <c r="G10" s="35">
        <f t="shared" si="0"/>
        <v>290000</v>
      </c>
    </row>
    <row r="11" spans="1:7" ht="15" x14ac:dyDescent="0.2">
      <c r="A11" s="36">
        <v>5</v>
      </c>
      <c r="B11" s="37" t="s">
        <v>127</v>
      </c>
      <c r="C11" s="36">
        <v>6</v>
      </c>
      <c r="D11" s="36">
        <v>1</v>
      </c>
      <c r="E11" s="38">
        <v>45000</v>
      </c>
      <c r="F11" s="38">
        <v>20000</v>
      </c>
      <c r="G11" s="35">
        <f t="shared" si="0"/>
        <v>290000</v>
      </c>
    </row>
    <row r="12" spans="1:7" ht="15" x14ac:dyDescent="0.2">
      <c r="A12" s="36">
        <v>6</v>
      </c>
      <c r="B12" s="37" t="s">
        <v>176</v>
      </c>
      <c r="C12" s="36">
        <v>3</v>
      </c>
      <c r="D12" s="36">
        <v>2</v>
      </c>
      <c r="E12" s="38">
        <v>35000</v>
      </c>
      <c r="F12" s="38">
        <v>60000</v>
      </c>
      <c r="G12" s="35">
        <f t="shared" si="0"/>
        <v>270000</v>
      </c>
    </row>
    <row r="13" spans="1:7" ht="15" x14ac:dyDescent="0.2">
      <c r="A13" s="36">
        <v>7</v>
      </c>
      <c r="B13" s="37" t="s">
        <v>128</v>
      </c>
      <c r="C13" s="36">
        <v>6</v>
      </c>
      <c r="D13" s="36">
        <v>2</v>
      </c>
      <c r="E13" s="38">
        <v>35000</v>
      </c>
      <c r="F13" s="38">
        <v>60000</v>
      </c>
      <c r="G13" s="35">
        <f t="shared" si="0"/>
        <v>480000</v>
      </c>
    </row>
    <row r="14" spans="1:7" ht="15" x14ac:dyDescent="0.2">
      <c r="A14" s="36">
        <v>8</v>
      </c>
      <c r="B14" s="37" t="s">
        <v>129</v>
      </c>
      <c r="C14" s="36">
        <v>3</v>
      </c>
      <c r="D14" s="36">
        <v>2</v>
      </c>
      <c r="E14" s="38">
        <v>35000</v>
      </c>
      <c r="F14" s="38"/>
      <c r="G14" s="35">
        <f t="shared" si="0"/>
        <v>210000</v>
      </c>
    </row>
    <row r="15" spans="1:7" ht="15" x14ac:dyDescent="0.2">
      <c r="A15" s="36">
        <v>9</v>
      </c>
      <c r="B15" s="37" t="s">
        <v>130</v>
      </c>
      <c r="C15" s="36">
        <v>10</v>
      </c>
      <c r="D15" s="36">
        <v>1</v>
      </c>
      <c r="E15" s="38">
        <v>50000</v>
      </c>
      <c r="F15" s="38">
        <v>30000</v>
      </c>
      <c r="G15" s="35">
        <f t="shared" si="0"/>
        <v>530000</v>
      </c>
    </row>
    <row r="16" spans="1:7" ht="15" x14ac:dyDescent="0.2">
      <c r="A16" s="36">
        <v>10</v>
      </c>
      <c r="B16" s="37"/>
      <c r="C16" s="36"/>
      <c r="D16" s="36"/>
      <c r="E16" s="38"/>
      <c r="F16" s="38"/>
      <c r="G16" s="35">
        <f t="shared" si="0"/>
        <v>0</v>
      </c>
    </row>
    <row r="17" spans="1:7" ht="15.75" x14ac:dyDescent="0.25">
      <c r="A17" s="36"/>
      <c r="B17" s="90" t="s">
        <v>14</v>
      </c>
      <c r="C17" s="91"/>
      <c r="D17" s="91"/>
      <c r="E17" s="92"/>
      <c r="F17" s="40"/>
      <c r="G17" s="39">
        <f>SUM(G7:G15)</f>
        <v>2805000</v>
      </c>
    </row>
    <row r="19" spans="1:7" ht="15" x14ac:dyDescent="0.2">
      <c r="B19" s="26"/>
      <c r="E19" s="3"/>
      <c r="F19" s="3"/>
      <c r="G19" s="3"/>
    </row>
    <row r="20" spans="1:7" ht="15" x14ac:dyDescent="0.2">
      <c r="B20" s="26" t="s">
        <v>109</v>
      </c>
      <c r="E20" s="27"/>
      <c r="F20" s="27"/>
      <c r="G20" s="27" t="s">
        <v>39</v>
      </c>
    </row>
    <row r="21" spans="1:7" ht="15" x14ac:dyDescent="0.2">
      <c r="B21" s="26"/>
      <c r="E21" s="27"/>
      <c r="F21" s="27"/>
      <c r="G21" s="27"/>
    </row>
    <row r="22" spans="1:7" ht="15" x14ac:dyDescent="0.2">
      <c r="B22" s="26"/>
      <c r="E22" s="27"/>
      <c r="F22" s="27"/>
      <c r="G22" s="27"/>
    </row>
    <row r="23" spans="1:7" ht="15" x14ac:dyDescent="0.2">
      <c r="B23" s="28" t="s">
        <v>178</v>
      </c>
      <c r="E23" s="30"/>
      <c r="F23" s="30"/>
      <c r="G23" s="30" t="s">
        <v>179</v>
      </c>
    </row>
    <row r="24" spans="1:7" ht="15" x14ac:dyDescent="0.2">
      <c r="B24" s="86" t="s">
        <v>111</v>
      </c>
      <c r="C24" s="86"/>
      <c r="D24" s="86"/>
      <c r="E24" s="86"/>
      <c r="F24" s="86"/>
      <c r="G24" s="86"/>
    </row>
    <row r="25" spans="1:7" ht="15" x14ac:dyDescent="0.2">
      <c r="B25" s="86" t="s">
        <v>110</v>
      </c>
      <c r="C25" s="86"/>
      <c r="D25" s="86"/>
      <c r="E25" s="86"/>
      <c r="F25" s="86"/>
      <c r="G25" s="86"/>
    </row>
    <row r="26" spans="1:7" ht="15" x14ac:dyDescent="0.2">
      <c r="C26" s="29"/>
      <c r="D26" s="29"/>
      <c r="E26" s="29"/>
      <c r="F26" s="29"/>
      <c r="G26" s="29"/>
    </row>
    <row r="27" spans="1:7" ht="15" x14ac:dyDescent="0.2">
      <c r="C27" s="29"/>
      <c r="D27" s="29"/>
      <c r="E27" s="29"/>
      <c r="F27" s="29"/>
      <c r="G27" s="29"/>
    </row>
    <row r="28" spans="1:7" ht="15" x14ac:dyDescent="0.2">
      <c r="C28" s="29"/>
      <c r="D28" s="29"/>
      <c r="E28" s="29"/>
      <c r="F28" s="29"/>
      <c r="G28" s="29"/>
    </row>
    <row r="29" spans="1:7" ht="15" x14ac:dyDescent="0.2">
      <c r="B29" s="87" t="s">
        <v>18</v>
      </c>
      <c r="C29" s="87"/>
      <c r="D29" s="87"/>
      <c r="E29" s="87"/>
      <c r="F29" s="87"/>
      <c r="G29" s="87"/>
    </row>
  </sheetData>
  <mergeCells count="8">
    <mergeCell ref="B25:G25"/>
    <mergeCell ref="B29:G29"/>
    <mergeCell ref="A1:G1"/>
    <mergeCell ref="A2:G2"/>
    <mergeCell ref="A3:G3"/>
    <mergeCell ref="A4:G4"/>
    <mergeCell ref="B17:E17"/>
    <mergeCell ref="B24:G24"/>
  </mergeCells>
  <pageMargins left="0.23622047244094491" right="0.19685039370078741" top="0.74803149606299213" bottom="0.74803149606299213" header="0.31496062992125984" footer="0.31496062992125984"/>
  <pageSetup paperSize="9" scale="94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Lap.Pemb.</vt:lpstr>
      <vt:lpstr>Sheet2</vt:lpstr>
      <vt:lpstr>Lap.Pemb.!Print_Area</vt:lpstr>
      <vt:lpstr>Sheet1!Print_Area</vt:lpstr>
      <vt:lpstr>Sheet2!Print_Area</vt:lpstr>
    </vt:vector>
  </TitlesOfParts>
  <Company>Sukorejo Situbondo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</dc:creator>
  <cp:lastModifiedBy>ZAFRAN</cp:lastModifiedBy>
  <cp:lastPrinted>2017-05-04T06:07:58Z</cp:lastPrinted>
  <dcterms:created xsi:type="dcterms:W3CDTF">2003-10-19T03:23:23Z</dcterms:created>
  <dcterms:modified xsi:type="dcterms:W3CDTF">2021-11-28T03:06:43Z</dcterms:modified>
</cp:coreProperties>
</file>