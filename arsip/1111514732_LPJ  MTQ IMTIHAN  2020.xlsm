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/>
  <workbookPr/>
  <bookViews>
    <workbookView xWindow="0" yWindow="6285" windowWidth="9720" windowHeight="2760" tabRatio="853" activeTab="1"/>
  </bookViews>
  <sheets>
    <sheet name="Sheet1" sheetId="30" r:id="rId1"/>
    <sheet name="Lap.Pemb." sheetId="25" r:id="rId2"/>
    <sheet name="Sheet2" sheetId="31" r:id="rId3"/>
  </sheets>
  <definedNames>
    <definedName name="_xlnm.Print_Area" localSheetId="1">Lap.Pemb.!$A$1:$M$62</definedName>
    <definedName name="_xlnm.Print_Area" localSheetId="0">Sheet1!$A$1:$J$44</definedName>
    <definedName name="_xlnm.Print_Area" localSheetId="2">Sheet2!$A$1:$G$29</definedName>
  </definedNames>
  <calcPr calcId="144525"/>
</workbook>
</file>

<file path=xl/calcChain.xml><?xml version="1.0" encoding="utf-8"?>
<calcChain xmlns="http://schemas.openxmlformats.org/spreadsheetml/2006/main">
  <c r="L22" i="25" l="1"/>
  <c r="L23" i="25"/>
  <c r="L16" i="25" l="1"/>
  <c r="L47" i="25" l="1"/>
  <c r="L48" i="25"/>
  <c r="L39" i="25" l="1"/>
  <c r="L17" i="25"/>
  <c r="L14" i="25"/>
  <c r="L49" i="25"/>
  <c r="L35" i="25"/>
  <c r="L30" i="25"/>
  <c r="L26" i="25"/>
  <c r="L51" i="25"/>
  <c r="L45" i="25"/>
  <c r="L38" i="25"/>
  <c r="L34" i="25"/>
  <c r="L20" i="25"/>
  <c r="L15" i="25" l="1"/>
  <c r="L13" i="25"/>
  <c r="G16" i="31"/>
  <c r="L41" i="25"/>
  <c r="L24" i="25"/>
  <c r="L21" i="25"/>
  <c r="L12" i="25"/>
  <c r="L27" i="25"/>
  <c r="L19" i="25"/>
  <c r="L9" i="25"/>
  <c r="L10" i="25"/>
  <c r="L11" i="25"/>
  <c r="L18" i="25"/>
  <c r="L25" i="25"/>
  <c r="L28" i="25"/>
  <c r="L29" i="25"/>
  <c r="L31" i="25"/>
  <c r="L32" i="25"/>
  <c r="L33" i="25"/>
  <c r="L36" i="25"/>
  <c r="L37" i="25"/>
  <c r="L40" i="25"/>
  <c r="L42" i="25"/>
  <c r="L43" i="25"/>
  <c r="L44" i="25"/>
  <c r="L46" i="25"/>
  <c r="L50" i="25"/>
  <c r="L52" i="25"/>
  <c r="L53" i="25"/>
  <c r="M8" i="25"/>
  <c r="M9" i="25" l="1"/>
  <c r="M10" i="25" s="1"/>
  <c r="M11" i="25" s="1"/>
  <c r="M12" i="25" s="1"/>
  <c r="M13" i="25" s="1"/>
  <c r="M14" i="25" s="1"/>
  <c r="M15" i="25" s="1"/>
  <c r="G7" i="31"/>
  <c r="G8" i="31"/>
  <c r="G9" i="31"/>
  <c r="G10" i="31"/>
  <c r="G11" i="31"/>
  <c r="G12" i="31"/>
  <c r="G13" i="31"/>
  <c r="G14" i="31"/>
  <c r="G15" i="31"/>
  <c r="K54" i="25"/>
  <c r="H27" i="30" s="1"/>
  <c r="J54" i="25"/>
  <c r="H26" i="30" s="1"/>
  <c r="I54" i="25"/>
  <c r="H25" i="30" s="1"/>
  <c r="H54" i="25"/>
  <c r="H24" i="30" s="1"/>
  <c r="G54" i="25"/>
  <c r="H23" i="30" s="1"/>
  <c r="F54" i="25"/>
  <c r="H19" i="30" s="1"/>
  <c r="H31" i="30" s="1"/>
  <c r="M16" i="25" l="1"/>
  <c r="M17" i="25" s="1"/>
  <c r="M18" i="25" s="1"/>
  <c r="M19" i="25" s="1"/>
  <c r="M20" i="25" s="1"/>
  <c r="M21" i="25" s="1"/>
  <c r="M22" i="25" s="1"/>
  <c r="M23" i="25" s="1"/>
  <c r="M24" i="25" s="1"/>
  <c r="M25" i="25" s="1"/>
  <c r="M26" i="25" s="1"/>
  <c r="M27" i="25" s="1"/>
  <c r="M28" i="25" s="1"/>
  <c r="M29" i="25" s="1"/>
  <c r="M30" i="25" s="1"/>
  <c r="M31" i="25" s="1"/>
  <c r="M32" i="25" s="1"/>
  <c r="M33" i="25" s="1"/>
  <c r="M34" i="25" s="1"/>
  <c r="M35" i="25" s="1"/>
  <c r="M36" i="25" s="1"/>
  <c r="M37" i="25" s="1"/>
  <c r="M38" i="25" s="1"/>
  <c r="M39" i="25" s="1"/>
  <c r="M40" i="25" s="1"/>
  <c r="M41" i="25" s="1"/>
  <c r="M42" i="25" s="1"/>
  <c r="M43" i="25" s="1"/>
  <c r="M44" i="25" s="1"/>
  <c r="M45" i="25" s="1"/>
  <c r="M46" i="25" s="1"/>
  <c r="M47" i="25" s="1"/>
  <c r="M48" i="25" s="1"/>
  <c r="M49" i="25" s="1"/>
  <c r="M50" i="25" s="1"/>
  <c r="M51" i="25" s="1"/>
  <c r="M52" i="25" s="1"/>
  <c r="M53" i="25" s="1"/>
  <c r="H29" i="30"/>
  <c r="H30" i="30" s="1"/>
  <c r="L54" i="25"/>
  <c r="M54" i="25" s="1"/>
  <c r="G17" i="31"/>
</calcChain>
</file>

<file path=xl/sharedStrings.xml><?xml version="1.0" encoding="utf-8"?>
<sst xmlns="http://schemas.openxmlformats.org/spreadsheetml/2006/main" count="193" uniqueCount="145">
  <si>
    <t>NO</t>
  </si>
  <si>
    <t>K</t>
  </si>
  <si>
    <t>TGL</t>
  </si>
  <si>
    <t>URAIAN</t>
  </si>
  <si>
    <t>NB</t>
  </si>
  <si>
    <t>SALDO</t>
  </si>
  <si>
    <t>Rp.</t>
  </si>
  <si>
    <t>LAPORAN KEUANGAN</t>
  </si>
  <si>
    <t>Trasp</t>
  </si>
  <si>
    <t>Adm.</t>
  </si>
  <si>
    <t>Kons</t>
  </si>
  <si>
    <t>Lain-lain</t>
  </si>
  <si>
    <t>Debet</t>
  </si>
  <si>
    <t>M</t>
  </si>
  <si>
    <t>JUMLAH &gt;&gt;&gt;</t>
  </si>
  <si>
    <t>Jumlah</t>
  </si>
  <si>
    <t>Barokah</t>
  </si>
  <si>
    <t xml:space="preserve">RINCIAN PENGELUARAN </t>
  </si>
  <si>
    <t>Hasana, S. HI.</t>
  </si>
  <si>
    <t>BANYUPUTIH SITUBONDO JAWA TIMUR</t>
  </si>
  <si>
    <t>JL. KHR. SYAMSUL ARIFIN  PO. BOX 2 Telp. (0338) 452666, Fax 452707 Kp. 68374 salsyaf sukorejo</t>
  </si>
  <si>
    <t>Nomor</t>
  </si>
  <si>
    <t>Lamp.</t>
  </si>
  <si>
    <t>: 1 Bendel</t>
  </si>
  <si>
    <t>H a l</t>
  </si>
  <si>
    <t>Yang Terhormat</t>
  </si>
  <si>
    <t>Assalamu'alaikum War. Wab.</t>
  </si>
  <si>
    <t>Saldo Kas Bulan Sebelumnya</t>
  </si>
  <si>
    <t>Jumlah Diterima</t>
  </si>
  <si>
    <t>Wassalamu'alaikum War. Wab.</t>
  </si>
  <si>
    <t>Tembusan disampaikan kepada Yth.</t>
  </si>
  <si>
    <t>Pemasukan</t>
  </si>
  <si>
    <t>Pengeluaran</t>
  </si>
  <si>
    <t>1.   Administrasi</t>
  </si>
  <si>
    <t xml:space="preserve">2.   Transport </t>
  </si>
  <si>
    <t>3.   Konsumsi</t>
  </si>
  <si>
    <t>5.   Lain-lain</t>
  </si>
  <si>
    <t>Jumlah Kredit</t>
  </si>
  <si>
    <t>Demikian laporan kami, atas perhatiaannya disampaikan terima kasih.</t>
  </si>
  <si>
    <t>Bendahara,</t>
  </si>
  <si>
    <t>Terima dari Bendahara</t>
  </si>
  <si>
    <t>M.01</t>
  </si>
  <si>
    <t>Ketua Panitia,</t>
  </si>
  <si>
    <t>Kasubag. JQK,</t>
  </si>
  <si>
    <t xml:space="preserve">Mengetahui </t>
  </si>
  <si>
    <t>JAM’IYATUL QURRO’ WAL KHOTTOTIN &amp; QIRO’ATUNA PUTRA</t>
  </si>
  <si>
    <t>Bendahara P2 S2</t>
  </si>
  <si>
    <t>di Sukorejo Situbondo</t>
  </si>
  <si>
    <t>Ketua JQK,</t>
  </si>
  <si>
    <t>2. BPK2M</t>
  </si>
  <si>
    <t>BAROKAH DEWAN HAKIM</t>
  </si>
  <si>
    <t>PONPES SALAFIYAH SYAFI'IYAH SUKOREJO SUMBEREJO BANYUPUTIH SITUBONDO</t>
  </si>
  <si>
    <t>CABANG LOMBA</t>
  </si>
  <si>
    <t>JURI</t>
  </si>
  <si>
    <t>TTM</t>
  </si>
  <si>
    <t>NOMINAL</t>
  </si>
  <si>
    <t>JUMLAH</t>
  </si>
  <si>
    <t>MTQ Anak-anak</t>
  </si>
  <si>
    <t>MTQ Antar Iksass</t>
  </si>
  <si>
    <t>MTQ Remaja</t>
  </si>
  <si>
    <t>MTQ Dewasa</t>
  </si>
  <si>
    <t xml:space="preserve">MHQ </t>
  </si>
  <si>
    <t>MKQ</t>
  </si>
  <si>
    <t xml:space="preserve">Final </t>
  </si>
  <si>
    <t>4.   Barokah Dewan Hakim</t>
  </si>
  <si>
    <t>TRANSPORT</t>
  </si>
  <si>
    <t xml:space="preserve"> PONDOK PESANTREN SALAFIYAH SYAFI’IYAH SUKOREJO</t>
  </si>
  <si>
    <t>PANITIA MUSABAQAH TILAWATIL QUR'AN</t>
  </si>
  <si>
    <t>TAHUN 2018</t>
  </si>
  <si>
    <t>Foto Copy</t>
  </si>
  <si>
    <t>MTQ DALAM RANGKA PERAYAAN MALAM IMTIHAN</t>
  </si>
  <si>
    <t>Muzanni</t>
  </si>
  <si>
    <t>Imaduddin</t>
  </si>
  <si>
    <t>K.001</t>
  </si>
  <si>
    <t>K.002</t>
  </si>
  <si>
    <t>K.003</t>
  </si>
  <si>
    <t>K.004</t>
  </si>
  <si>
    <t>K.005</t>
  </si>
  <si>
    <t>K.006</t>
  </si>
  <si>
    <t>K.007</t>
  </si>
  <si>
    <t>K.008</t>
  </si>
  <si>
    <t>K.009</t>
  </si>
  <si>
    <t>K.010</t>
  </si>
  <si>
    <t>K.011</t>
  </si>
  <si>
    <t>K.012</t>
  </si>
  <si>
    <t>K.013</t>
  </si>
  <si>
    <t>K.014</t>
  </si>
  <si>
    <t>K.015</t>
  </si>
  <si>
    <t>K.016</t>
  </si>
  <si>
    <t>K.017</t>
  </si>
  <si>
    <t>K.018</t>
  </si>
  <si>
    <t>K.019</t>
  </si>
  <si>
    <t>K.020</t>
  </si>
  <si>
    <t>K.021</t>
  </si>
  <si>
    <t>K.022</t>
  </si>
  <si>
    <t>K.023</t>
  </si>
  <si>
    <t>K.024</t>
  </si>
  <si>
    <t>K.025</t>
  </si>
  <si>
    <t>K.026</t>
  </si>
  <si>
    <t>K.027</t>
  </si>
  <si>
    <t>K.028</t>
  </si>
  <si>
    <t>K.029</t>
  </si>
  <si>
    <t>: Laporan Keuangan MTQ dalam rangka Haflatul Imtihan</t>
  </si>
  <si>
    <t>Beli Tropy</t>
  </si>
  <si>
    <t>MTQ Tartil</t>
  </si>
  <si>
    <t xml:space="preserve">Kons. Dewan Hakim </t>
  </si>
  <si>
    <t>Mengetahui Ka. JQK,</t>
  </si>
  <si>
    <t>Map Kertas</t>
  </si>
  <si>
    <t>Amplop</t>
  </si>
  <si>
    <t>Print</t>
  </si>
  <si>
    <t>Cutter</t>
  </si>
  <si>
    <t>ATK</t>
  </si>
  <si>
    <t xml:space="preserve">Barokah Dewan Hakim </t>
  </si>
  <si>
    <t>Konsumsi Final</t>
  </si>
  <si>
    <t>Konsumsi pendataan</t>
  </si>
  <si>
    <t>MEMPERINGATI MALAM IMTIHAN &amp; HUT KE- 106</t>
  </si>
  <si>
    <t>TAHUN 2020</t>
  </si>
  <si>
    <t>K.030</t>
  </si>
  <si>
    <t>K.031</t>
  </si>
  <si>
    <t>K.032</t>
  </si>
  <si>
    <t>K.033</t>
  </si>
  <si>
    <t>K.034</t>
  </si>
  <si>
    <t>K.035</t>
  </si>
  <si>
    <t>K.036</t>
  </si>
  <si>
    <t>K.037</t>
  </si>
  <si>
    <t>K.038</t>
  </si>
  <si>
    <t>K.039</t>
  </si>
  <si>
    <t>K.040</t>
  </si>
  <si>
    <t>K.041</t>
  </si>
  <si>
    <t>K.042</t>
  </si>
  <si>
    <t>K.043</t>
  </si>
  <si>
    <t>Ahmad Muzanni</t>
  </si>
  <si>
    <t>Gunawan</t>
  </si>
  <si>
    <t>Tahun 2020</t>
  </si>
  <si>
    <t>Kons. Dewan Hakim &amp; Panitia</t>
  </si>
  <si>
    <t>K.044</t>
  </si>
  <si>
    <t>K.045</t>
  </si>
  <si>
    <t>Konsumsi Panitia</t>
  </si>
  <si>
    <t>Beli Amplop</t>
  </si>
  <si>
    <t xml:space="preserve">Kons. Panitia &amp; Hakim MHQ </t>
  </si>
  <si>
    <t xml:space="preserve">Konsumsi kerja persiapan </t>
  </si>
  <si>
    <t>Sukorejo, 30 Januari 2021</t>
  </si>
  <si>
    <t>: 0828/….../C.4b/MTQ/I/2021</t>
  </si>
  <si>
    <t xml:space="preserve">Disampaikan dengan hormat. Dengan ini kami laporkan biaya penggunaan keuangan Musabqah Tilawatil Qur'an (MTQ) dalam rangka Peringatan Haflatul Imtihan Ke-106. tahun 2020 dengan menghabiskan bsiaya sebesar 8.057.000,- (Delapan juta lima puluh tujuh ribu rupiah), dengan rincian sebagai berikut : </t>
  </si>
  <si>
    <t>1. Panitia Haflatul Imtihan.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</si>
</sst>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[$Rp-421]* #,##0_);_([$Rp-421]* \(#,##0\);_([$Rp-421]* &quot;-&quot;_);_(@_)"/>
  </numFmts>
  <fonts count="21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sz val="10"/>
      <name val="Trebuchet MS"/>
      <family val="2"/>
    </font>
    <font>
      <b/>
      <sz val="11"/>
      <name val="Arial"/>
      <family val="2"/>
    </font>
    <font>
      <b/>
      <sz val="14"/>
      <name val="Arial Narrow"/>
      <family val="2"/>
    </font>
    <font>
      <b/>
      <sz val="10"/>
      <name val="Tahoma"/>
      <family val="2"/>
    </font>
    <font>
      <b/>
      <sz val="10"/>
      <color indexed="63"/>
      <name val="Tahoma"/>
      <family val="2"/>
    </font>
    <font>
      <b/>
      <sz val="14"/>
      <name val="Cambria"/>
      <family val="1"/>
    </font>
    <font>
      <sz val="12"/>
      <name val="Tahoma"/>
      <family val="2"/>
    </font>
    <font>
      <b/>
      <sz val="12"/>
      <name val="Tahoma"/>
      <family val="2"/>
    </font>
    <font>
      <b/>
      <sz val="12"/>
      <name val="Arial"/>
      <family val="2"/>
    </font>
    <font>
      <b/>
      <sz val="12"/>
      <name val="Arial Narrow"/>
      <family val="2"/>
    </font>
    <font>
      <sz val="12"/>
      <name val="Arial"/>
      <family val="2"/>
    </font>
    <font>
      <b/>
      <i/>
      <sz val="11"/>
      <name val="Tahoma"/>
      <family val="2"/>
    </font>
    <font>
      <i/>
      <sz val="11"/>
      <name val="Tahoma"/>
      <family val="2"/>
    </font>
    <font>
      <sz val="8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5" fontId="2" fillId="0" borderId="0" applyFill="0" applyBorder="0" applyAlignment="0" applyProtection="0"/>
  </cellStyleXfs>
  <cellXfs count="85">
    <xf numFmtId="0" fontId="0" fillId="0" borderId="0" xfId="0"/>
    <xf numFmtId="0" fontId="7" fillId="0" borderId="0" xfId="0" applyFont="1"/>
    <xf numFmtId="0" fontId="5" fillId="2" borderId="0" xfId="0" applyFont="1" applyFill="1"/>
    <xf numFmtId="0" fontId="5" fillId="2" borderId="0" xfId="0" applyFont="1" applyFill="1" applyAlignment="1"/>
    <xf numFmtId="0" fontId="9" fillId="2" borderId="0" xfId="0" applyFont="1" applyFill="1" applyAlignment="1"/>
    <xf numFmtId="0" fontId="8" fillId="0" borderId="0" xfId="0" applyFont="1" applyAlignment="1"/>
    <xf numFmtId="0" fontId="10" fillId="0" borderId="2" xfId="0" applyFont="1" applyBorder="1" applyAlignment="1">
      <alignment horizontal="center" vertical="center"/>
    </xf>
    <xf numFmtId="164" fontId="10" fillId="0" borderId="2" xfId="1" applyNumberFormat="1" applyFont="1" applyBorder="1" applyAlignment="1">
      <alignment horizontal="center" vertical="center"/>
    </xf>
    <xf numFmtId="164" fontId="10" fillId="0" borderId="3" xfId="1" applyNumberFormat="1" applyFont="1" applyBorder="1" applyAlignment="1">
      <alignment horizontal="center" vertical="center"/>
    </xf>
    <xf numFmtId="164" fontId="10" fillId="0" borderId="4" xfId="1" applyNumberFormat="1" applyFont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5" fillId="0" borderId="0" xfId="0" applyFont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7" xfId="0" applyFont="1" applyBorder="1"/>
    <xf numFmtId="164" fontId="4" fillId="0" borderId="7" xfId="1" applyNumberFormat="1" applyFont="1" applyBorder="1"/>
    <xf numFmtId="164" fontId="4" fillId="0" borderId="8" xfId="1" applyNumberFormat="1" applyFont="1" applyBorder="1"/>
    <xf numFmtId="0" fontId="10" fillId="0" borderId="5" xfId="0" applyFont="1" applyBorder="1" applyAlignment="1">
      <alignment horizontal="center" vertical="center"/>
    </xf>
    <xf numFmtId="0" fontId="13" fillId="2" borderId="0" xfId="0" applyFont="1" applyFill="1"/>
    <xf numFmtId="0" fontId="13" fillId="2" borderId="0" xfId="0" applyFont="1" applyFill="1" applyAlignment="1"/>
    <xf numFmtId="0" fontId="14" fillId="0" borderId="0" xfId="0" applyFont="1"/>
    <xf numFmtId="0" fontId="13" fillId="0" borderId="0" xfId="0" applyFont="1"/>
    <xf numFmtId="0" fontId="14" fillId="2" borderId="0" xfId="0" applyFont="1" applyFill="1" applyAlignment="1"/>
    <xf numFmtId="0" fontId="15" fillId="0" borderId="5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165" fontId="17" fillId="0" borderId="7" xfId="2" applyFont="1" applyBorder="1" applyAlignment="1">
      <alignment horizontal="center"/>
    </xf>
    <xf numFmtId="165" fontId="17" fillId="0" borderId="7" xfId="0" applyNumberFormat="1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1" xfId="0" applyFont="1" applyBorder="1" applyAlignment="1">
      <alignment horizontal="left"/>
    </xf>
    <xf numFmtId="165" fontId="17" fillId="0" borderId="1" xfId="2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0" fontId="15" fillId="0" borderId="9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/>
    <xf numFmtId="0" fontId="20" fillId="0" borderId="10" xfId="0" applyFont="1" applyBorder="1" applyAlignment="1">
      <alignment vertical="center"/>
    </xf>
    <xf numFmtId="0" fontId="0" fillId="0" borderId="10" xfId="0" applyBorder="1"/>
    <xf numFmtId="0" fontId="6" fillId="0" borderId="0" xfId="0" applyFont="1" applyAlignment="1"/>
    <xf numFmtId="0" fontId="5" fillId="2" borderId="0" xfId="0" applyFont="1" applyFill="1" applyBorder="1" applyAlignment="1"/>
    <xf numFmtId="0" fontId="18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wrapText="1"/>
    </xf>
    <xf numFmtId="164" fontId="5" fillId="0" borderId="0" xfId="1" applyNumberFormat="1" applyFont="1"/>
    <xf numFmtId="0" fontId="5" fillId="0" borderId="11" xfId="0" applyFont="1" applyBorder="1"/>
    <xf numFmtId="164" fontId="5" fillId="0" borderId="11" xfId="1" applyNumberFormat="1" applyFont="1" applyBorder="1"/>
    <xf numFmtId="0" fontId="5" fillId="0" borderId="0" xfId="0" applyFont="1" applyBorder="1"/>
    <xf numFmtId="41" fontId="6" fillId="0" borderId="0" xfId="0" applyNumberFormat="1" applyFont="1"/>
    <xf numFmtId="0" fontId="6" fillId="0" borderId="11" xfId="0" applyFont="1" applyBorder="1"/>
    <xf numFmtId="41" fontId="6" fillId="0" borderId="11" xfId="0" applyNumberFormat="1" applyFont="1" applyBorder="1"/>
    <xf numFmtId="0" fontId="19" fillId="0" borderId="12" xfId="0" applyFont="1" applyBorder="1"/>
    <xf numFmtId="0" fontId="19" fillId="0" borderId="0" xfId="0" applyFont="1"/>
    <xf numFmtId="14" fontId="4" fillId="0" borderId="1" xfId="0" quotePrefix="1" applyNumberFormat="1" applyFont="1" applyBorder="1" applyAlignment="1">
      <alignment horizontal="center"/>
    </xf>
    <xf numFmtId="0" fontId="5" fillId="0" borderId="0" xfId="0" applyFont="1" applyAlignment="1">
      <alignment vertical="top"/>
    </xf>
    <xf numFmtId="14" fontId="4" fillId="0" borderId="1" xfId="0" applyNumberFormat="1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164" fontId="4" fillId="0" borderId="1" xfId="1" applyNumberFormat="1" applyFont="1" applyFill="1" applyBorder="1"/>
    <xf numFmtId="0" fontId="5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0" fillId="0" borderId="24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1" fillId="2" borderId="17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5" fillId="0" borderId="25" xfId="0" applyFont="1" applyBorder="1" applyAlignment="1">
      <alignment horizontal="right"/>
    </xf>
    <xf numFmtId="0" fontId="15" fillId="0" borderId="26" xfId="0" applyFont="1" applyBorder="1" applyAlignment="1">
      <alignment horizontal="right"/>
    </xf>
    <xf numFmtId="0" fontId="15" fillId="0" borderId="9" xfId="0" applyFont="1" applyBorder="1" applyAlignment="1">
      <alignment horizontal="right"/>
    </xf>
  </cellXfs>
  <cellStyles count="3">
    <cellStyle name="Comma" xfId="1" builtinId="3"/>
    <cellStyle name="Comma [0]" xfId="2" builtinId="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0</xdr:row>
      <xdr:rowOff>0</xdr:rowOff>
    </xdr:from>
    <xdr:to>
      <xdr:col>6</xdr:col>
      <xdr:colOff>304800</xdr:colOff>
      <xdr:row>1</xdr:row>
      <xdr:rowOff>19050</xdr:rowOff>
    </xdr:to>
    <xdr:pic>
      <xdr:nvPicPr>
        <xdr:cNvPr id="1086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0" y="0"/>
          <a:ext cx="19621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4"/>
  <sheetViews>
    <sheetView topLeftCell="A18" workbookViewId="0">
      <selection activeCell="I27" sqref="I27"/>
    </sheetView>
  </sheetViews>
  <sheetFormatPr defaultRowHeight="12.75" x14ac:dyDescent="0.2"/>
  <cols>
    <col min="1" max="1" width="6.140625" customWidth="1"/>
    <col min="2" max="2" width="10.5703125" customWidth="1"/>
    <col min="4" max="4" width="11.7109375" customWidth="1"/>
    <col min="6" max="6" width="9.5703125" customWidth="1"/>
    <col min="7" max="7" width="10.7109375" customWidth="1"/>
    <col min="8" max="8" width="14.42578125" customWidth="1"/>
    <col min="9" max="9" width="7.7109375" customWidth="1"/>
    <col min="10" max="10" width="4.28515625" customWidth="1"/>
  </cols>
  <sheetData>
    <row r="1" spans="1:14" ht="39.950000000000003" customHeight="1" x14ac:dyDescent="0.2">
      <c r="A1" s="59"/>
      <c r="B1" s="59"/>
      <c r="C1" s="59"/>
      <c r="D1" s="59"/>
      <c r="E1" s="59"/>
      <c r="F1" s="59"/>
      <c r="G1" s="59"/>
      <c r="H1" s="59"/>
      <c r="I1" s="59"/>
      <c r="J1" s="59"/>
    </row>
    <row r="2" spans="1:14" ht="20.100000000000001" customHeight="1" x14ac:dyDescent="0.25">
      <c r="A2" s="56" t="s">
        <v>66</v>
      </c>
      <c r="B2" s="56"/>
      <c r="C2" s="56"/>
      <c r="D2" s="56"/>
      <c r="E2" s="56"/>
      <c r="F2" s="56"/>
      <c r="G2" s="56"/>
      <c r="H2" s="56"/>
      <c r="I2" s="56"/>
      <c r="J2" s="56"/>
    </row>
    <row r="3" spans="1:14" ht="20.100000000000001" customHeight="1" x14ac:dyDescent="0.25">
      <c r="A3" s="57" t="s">
        <v>45</v>
      </c>
      <c r="B3" s="57"/>
      <c r="C3" s="57"/>
      <c r="D3" s="57"/>
      <c r="E3" s="57"/>
      <c r="F3" s="57"/>
      <c r="G3" s="57"/>
      <c r="H3" s="57"/>
      <c r="I3" s="57"/>
      <c r="J3" s="57"/>
    </row>
    <row r="4" spans="1:14" ht="20.100000000000001" customHeight="1" x14ac:dyDescent="0.25">
      <c r="A4" s="58" t="s">
        <v>19</v>
      </c>
      <c r="B4" s="58"/>
      <c r="C4" s="58"/>
      <c r="D4" s="58"/>
      <c r="E4" s="58"/>
      <c r="F4" s="58"/>
      <c r="G4" s="58"/>
      <c r="H4" s="58"/>
      <c r="I4" s="58"/>
      <c r="J4" s="58"/>
    </row>
    <row r="5" spans="1:14" ht="8.1" customHeight="1" thickBot="1" x14ac:dyDescent="0.25">
      <c r="A5" s="34" t="s">
        <v>20</v>
      </c>
      <c r="B5" s="34"/>
      <c r="C5" s="34"/>
      <c r="D5" s="34"/>
      <c r="E5" s="34"/>
      <c r="F5" s="34"/>
      <c r="G5" s="34"/>
      <c r="H5" s="34"/>
      <c r="I5" s="34"/>
      <c r="J5" s="35"/>
    </row>
    <row r="6" spans="1:14" ht="9.9499999999999993" customHeight="1" x14ac:dyDescent="0.25">
      <c r="J6" s="4"/>
    </row>
    <row r="7" spans="1:14" ht="15" x14ac:dyDescent="0.25">
      <c r="A7" s="11" t="s">
        <v>21</v>
      </c>
      <c r="B7" s="11" t="s">
        <v>142</v>
      </c>
      <c r="C7" s="11"/>
      <c r="D7" s="11"/>
      <c r="E7" s="11"/>
      <c r="F7" s="11"/>
      <c r="G7" s="11"/>
      <c r="H7" s="11"/>
      <c r="I7" s="11"/>
      <c r="J7" s="36"/>
      <c r="K7" s="5"/>
      <c r="L7" s="5"/>
      <c r="M7" s="5"/>
      <c r="N7" s="5"/>
    </row>
    <row r="8" spans="1:14" ht="14.25" x14ac:dyDescent="0.2">
      <c r="A8" s="11" t="s">
        <v>22</v>
      </c>
      <c r="B8" s="11" t="s">
        <v>23</v>
      </c>
      <c r="C8" s="11"/>
      <c r="D8" s="11"/>
      <c r="E8" s="11"/>
      <c r="F8" s="11"/>
      <c r="G8" s="11"/>
      <c r="H8" s="11"/>
      <c r="I8" s="11"/>
      <c r="J8" s="37"/>
    </row>
    <row r="9" spans="1:14" ht="14.25" x14ac:dyDescent="0.2">
      <c r="A9" s="11" t="s">
        <v>24</v>
      </c>
      <c r="B9" s="11" t="s">
        <v>102</v>
      </c>
      <c r="C9" s="38"/>
      <c r="D9" s="38"/>
      <c r="E9" s="11"/>
      <c r="F9" s="11"/>
      <c r="G9" s="11"/>
      <c r="H9" s="11"/>
      <c r="I9" s="11"/>
      <c r="J9" s="11"/>
    </row>
    <row r="10" spans="1:14" ht="14.25" x14ac:dyDescent="0.2">
      <c r="A10" s="11"/>
      <c r="B10" s="60" t="s">
        <v>133</v>
      </c>
      <c r="C10" s="60"/>
      <c r="D10" s="60"/>
      <c r="E10" s="11"/>
      <c r="F10" s="11"/>
      <c r="G10" s="11"/>
      <c r="H10" s="11"/>
      <c r="I10" s="11"/>
      <c r="J10" s="11"/>
    </row>
    <row r="11" spans="1:14" ht="14.25" x14ac:dyDescent="0.2">
      <c r="A11" s="11"/>
      <c r="B11" s="38"/>
      <c r="C11" s="11"/>
      <c r="D11" s="11"/>
      <c r="E11" s="11"/>
      <c r="F11" s="11"/>
      <c r="G11" s="11"/>
      <c r="H11" s="11"/>
      <c r="I11" s="11"/>
      <c r="J11" s="11"/>
    </row>
    <row r="12" spans="1:14" ht="14.25" x14ac:dyDescent="0.2">
      <c r="A12" s="11"/>
      <c r="B12" s="11" t="s">
        <v>25</v>
      </c>
      <c r="C12" s="11"/>
      <c r="D12" s="11"/>
      <c r="E12" s="11"/>
      <c r="F12" s="11"/>
      <c r="G12" s="11"/>
      <c r="H12" s="11"/>
      <c r="I12" s="11"/>
      <c r="J12" s="11"/>
    </row>
    <row r="13" spans="1:14" ht="14.25" x14ac:dyDescent="0.2">
      <c r="A13" s="11"/>
      <c r="B13" s="11" t="s">
        <v>46</v>
      </c>
      <c r="C13" s="11"/>
      <c r="D13" s="11"/>
      <c r="E13" s="11"/>
      <c r="F13" s="11"/>
      <c r="G13" s="11"/>
      <c r="H13" s="11"/>
      <c r="I13" s="11"/>
      <c r="J13" s="11"/>
    </row>
    <row r="14" spans="1:14" ht="14.25" x14ac:dyDescent="0.2">
      <c r="A14" s="11"/>
      <c r="B14" s="11" t="s">
        <v>47</v>
      </c>
      <c r="C14" s="11"/>
      <c r="D14" s="11"/>
      <c r="E14" s="11"/>
      <c r="F14" s="11"/>
      <c r="G14" s="11"/>
      <c r="H14" s="11"/>
      <c r="I14" s="11"/>
      <c r="J14" s="11"/>
    </row>
    <row r="15" spans="1:14" ht="14.25" x14ac:dyDescent="0.2">
      <c r="A15" s="11"/>
      <c r="B15" s="38"/>
      <c r="C15" s="38"/>
      <c r="D15" s="11"/>
      <c r="E15" s="11"/>
      <c r="F15" s="11"/>
      <c r="G15" s="11"/>
      <c r="H15" s="11"/>
      <c r="I15" s="11"/>
      <c r="J15" s="11"/>
    </row>
    <row r="16" spans="1:14" ht="14.25" x14ac:dyDescent="0.2">
      <c r="A16" s="11"/>
      <c r="B16" s="38" t="s">
        <v>26</v>
      </c>
      <c r="C16" s="38"/>
      <c r="D16" s="38"/>
      <c r="E16" s="11"/>
      <c r="F16" s="11"/>
      <c r="G16" s="11"/>
      <c r="H16" s="11"/>
      <c r="I16" s="11"/>
      <c r="J16" s="11"/>
    </row>
    <row r="17" spans="1:10" ht="60" customHeight="1" x14ac:dyDescent="0.2">
      <c r="A17" s="11"/>
      <c r="B17" s="55" t="s">
        <v>143</v>
      </c>
      <c r="C17" s="55"/>
      <c r="D17" s="55"/>
      <c r="E17" s="55"/>
      <c r="F17" s="55"/>
      <c r="G17" s="55"/>
      <c r="H17" s="55"/>
      <c r="I17" s="55"/>
      <c r="J17" s="39"/>
    </row>
    <row r="18" spans="1:10" ht="14.25" x14ac:dyDescent="0.2">
      <c r="A18" s="11"/>
      <c r="B18" s="39"/>
      <c r="C18" s="39"/>
      <c r="D18" s="39"/>
      <c r="E18" s="39"/>
      <c r="F18" s="39"/>
      <c r="G18" s="39"/>
      <c r="H18" s="39"/>
      <c r="I18" s="39"/>
      <c r="J18" s="11"/>
    </row>
    <row r="19" spans="1:10" ht="14.25" x14ac:dyDescent="0.2">
      <c r="A19" s="11"/>
      <c r="B19" s="33" t="s">
        <v>31</v>
      </c>
      <c r="C19" s="11"/>
      <c r="D19" s="11"/>
      <c r="E19" s="11"/>
      <c r="F19" s="40"/>
      <c r="G19" s="11" t="s">
        <v>6</v>
      </c>
      <c r="H19" s="41">
        <f>Lap.Pemb.!F54</f>
        <v>9500000</v>
      </c>
      <c r="I19" s="11"/>
      <c r="J19" s="11"/>
    </row>
    <row r="20" spans="1:10" ht="14.25" x14ac:dyDescent="0.2">
      <c r="A20" s="11"/>
      <c r="B20" s="33"/>
      <c r="C20" s="11"/>
      <c r="D20" s="11"/>
      <c r="E20" s="11"/>
      <c r="F20" s="11"/>
      <c r="G20" s="11"/>
      <c r="H20" s="41"/>
      <c r="I20" s="11"/>
      <c r="J20" s="11"/>
    </row>
    <row r="21" spans="1:10" ht="14.25" x14ac:dyDescent="0.2">
      <c r="A21" s="11"/>
      <c r="B21" s="33" t="s">
        <v>32</v>
      </c>
      <c r="C21" s="11"/>
      <c r="D21" s="11"/>
      <c r="E21" s="11"/>
      <c r="F21" s="11"/>
      <c r="G21" s="11" t="s">
        <v>6</v>
      </c>
      <c r="H21" s="41"/>
      <c r="I21" s="11"/>
      <c r="J21" s="11"/>
    </row>
    <row r="22" spans="1:10" ht="14.25" x14ac:dyDescent="0.2">
      <c r="A22" s="11"/>
      <c r="B22" s="11"/>
      <c r="C22" s="11"/>
      <c r="D22" s="11"/>
      <c r="E22" s="11"/>
      <c r="F22" s="41"/>
      <c r="G22" s="11"/>
      <c r="H22" s="41"/>
      <c r="I22" s="11"/>
      <c r="J22" s="11"/>
    </row>
    <row r="23" spans="1:10" ht="14.25" x14ac:dyDescent="0.2">
      <c r="A23" s="11"/>
      <c r="B23" s="11" t="s">
        <v>33</v>
      </c>
      <c r="C23" s="11"/>
      <c r="D23" s="11"/>
      <c r="E23" s="11"/>
      <c r="F23" s="41"/>
      <c r="G23" s="11" t="s">
        <v>6</v>
      </c>
      <c r="H23" s="41">
        <f>Lap.Pemb.!G54</f>
        <v>2470500</v>
      </c>
      <c r="I23" s="11"/>
      <c r="J23" s="11"/>
    </row>
    <row r="24" spans="1:10" ht="14.25" x14ac:dyDescent="0.2">
      <c r="A24" s="11"/>
      <c r="B24" s="11" t="s">
        <v>34</v>
      </c>
      <c r="C24" s="11"/>
      <c r="D24" s="11"/>
      <c r="E24" s="11"/>
      <c r="F24" s="41"/>
      <c r="G24" s="11" t="s">
        <v>6</v>
      </c>
      <c r="H24" s="41">
        <f>Lap.Pemb.!H54</f>
        <v>0</v>
      </c>
      <c r="I24" s="11"/>
      <c r="J24" s="11"/>
    </row>
    <row r="25" spans="1:10" ht="14.25" x14ac:dyDescent="0.2">
      <c r="A25" s="11"/>
      <c r="B25" s="11" t="s">
        <v>35</v>
      </c>
      <c r="C25" s="11"/>
      <c r="D25" s="11"/>
      <c r="E25" s="11"/>
      <c r="F25" s="41"/>
      <c r="G25" s="11" t="s">
        <v>6</v>
      </c>
      <c r="H25" s="41">
        <f>Lap.Pemb.!I54</f>
        <v>2596500</v>
      </c>
      <c r="I25" s="11"/>
      <c r="J25" s="11"/>
    </row>
    <row r="26" spans="1:10" ht="14.25" x14ac:dyDescent="0.2">
      <c r="A26" s="11"/>
      <c r="B26" s="11" t="s">
        <v>64</v>
      </c>
      <c r="C26" s="11"/>
      <c r="D26" s="11"/>
      <c r="E26" s="11"/>
      <c r="F26" s="41"/>
      <c r="G26" s="11" t="s">
        <v>6</v>
      </c>
      <c r="H26" s="41">
        <f>Lap.Pemb.!J54</f>
        <v>2990000</v>
      </c>
      <c r="I26" s="11"/>
      <c r="J26" s="11"/>
    </row>
    <row r="27" spans="1:10" ht="14.25" x14ac:dyDescent="0.2">
      <c r="A27" s="11"/>
      <c r="B27" s="11" t="s">
        <v>36</v>
      </c>
      <c r="C27" s="11"/>
      <c r="D27" s="11"/>
      <c r="E27" s="11"/>
      <c r="F27" s="41"/>
      <c r="G27" s="11" t="s">
        <v>6</v>
      </c>
      <c r="H27" s="41">
        <f>Lap.Pemb.!K54</f>
        <v>0</v>
      </c>
      <c r="I27" s="11"/>
      <c r="J27" s="11"/>
    </row>
    <row r="28" spans="1:10" ht="15" thickBot="1" x14ac:dyDescent="0.25">
      <c r="A28" s="11"/>
      <c r="B28" s="42"/>
      <c r="C28" s="42"/>
      <c r="D28" s="42"/>
      <c r="E28" s="42"/>
      <c r="F28" s="43"/>
      <c r="G28" s="43"/>
      <c r="H28" s="43"/>
      <c r="I28" s="44"/>
      <c r="J28" s="11"/>
    </row>
    <row r="29" spans="1:10" ht="14.25" x14ac:dyDescent="0.2">
      <c r="A29" s="11"/>
      <c r="B29" s="11"/>
      <c r="C29" s="11"/>
      <c r="D29" s="33" t="s">
        <v>37</v>
      </c>
      <c r="E29" s="11"/>
      <c r="F29" s="11"/>
      <c r="G29" s="33" t="s">
        <v>6</v>
      </c>
      <c r="H29" s="45">
        <f>SUM(H23:H27)</f>
        <v>8057000</v>
      </c>
      <c r="I29" s="11"/>
      <c r="J29" s="11"/>
    </row>
    <row r="30" spans="1:10" ht="15" thickBot="1" x14ac:dyDescent="0.25">
      <c r="A30" s="11"/>
      <c r="B30" s="11"/>
      <c r="C30" s="11"/>
      <c r="D30" s="33" t="s">
        <v>27</v>
      </c>
      <c r="E30" s="11"/>
      <c r="F30" s="11"/>
      <c r="G30" s="46" t="s">
        <v>6</v>
      </c>
      <c r="H30" s="47">
        <f>H31-H29</f>
        <v>1443000</v>
      </c>
      <c r="I30" s="11"/>
      <c r="J30" s="11"/>
    </row>
    <row r="31" spans="1:10" ht="14.25" x14ac:dyDescent="0.2">
      <c r="A31" s="11"/>
      <c r="B31" s="11"/>
      <c r="C31" s="11"/>
      <c r="D31" s="33" t="s">
        <v>28</v>
      </c>
      <c r="E31" s="11"/>
      <c r="F31" s="11"/>
      <c r="G31" s="33" t="s">
        <v>6</v>
      </c>
      <c r="H31" s="45">
        <f>H19</f>
        <v>9500000</v>
      </c>
      <c r="I31" s="11"/>
      <c r="J31" s="11"/>
    </row>
    <row r="32" spans="1:10" ht="14.25" x14ac:dyDescent="0.2">
      <c r="A32" s="11"/>
      <c r="B32" s="11" t="s">
        <v>38</v>
      </c>
      <c r="C32" s="11"/>
      <c r="D32" s="11"/>
      <c r="E32" s="11"/>
      <c r="F32" s="11"/>
      <c r="G32" s="11"/>
      <c r="H32" s="11"/>
      <c r="I32" s="11"/>
      <c r="J32" s="11"/>
    </row>
    <row r="33" spans="1:10" ht="14.25" x14ac:dyDescent="0.2">
      <c r="A33" s="11"/>
      <c r="B33" s="11"/>
      <c r="C33" s="11"/>
      <c r="D33" s="11"/>
      <c r="E33" s="11"/>
      <c r="F33" s="11"/>
      <c r="G33" s="11"/>
      <c r="H33" s="11"/>
      <c r="I33" s="11"/>
      <c r="J33" s="11"/>
    </row>
    <row r="34" spans="1:10" ht="14.25" x14ac:dyDescent="0.2">
      <c r="A34" s="11"/>
      <c r="B34" s="38" t="s">
        <v>29</v>
      </c>
      <c r="C34" s="33"/>
      <c r="D34" s="33"/>
      <c r="E34" s="11"/>
      <c r="F34" s="11"/>
      <c r="G34" s="11"/>
      <c r="H34" s="11"/>
      <c r="I34" s="11"/>
      <c r="J34" s="11"/>
    </row>
    <row r="35" spans="1:10" ht="14.25" x14ac:dyDescent="0.2">
      <c r="A35" s="11"/>
      <c r="B35" s="11"/>
      <c r="C35" s="11"/>
      <c r="D35" s="11"/>
      <c r="E35" s="11"/>
      <c r="F35" s="11"/>
      <c r="G35" s="3" t="s">
        <v>141</v>
      </c>
      <c r="H35" s="11"/>
      <c r="I35" s="11"/>
      <c r="J35" s="11"/>
    </row>
    <row r="36" spans="1:10" ht="14.25" x14ac:dyDescent="0.2">
      <c r="A36" s="11"/>
      <c r="B36" s="11" t="s">
        <v>48</v>
      </c>
      <c r="C36" s="11"/>
      <c r="D36" s="11"/>
      <c r="E36" s="11"/>
      <c r="F36" s="11"/>
      <c r="G36" s="11" t="s">
        <v>39</v>
      </c>
      <c r="H36" s="11"/>
      <c r="I36" s="11"/>
      <c r="J36" s="11"/>
    </row>
    <row r="37" spans="1:10" ht="14.25" x14ac:dyDescent="0.2">
      <c r="A37" s="11"/>
      <c r="B37" s="11"/>
      <c r="C37" s="11"/>
      <c r="D37" s="11"/>
      <c r="E37" s="11"/>
      <c r="F37" s="32"/>
      <c r="G37" s="11"/>
      <c r="H37" s="11"/>
      <c r="I37" s="11"/>
      <c r="J37" s="11"/>
    </row>
    <row r="38" spans="1:10" ht="14.25" x14ac:dyDescent="0.2">
      <c r="A38" s="11"/>
      <c r="B38" s="11"/>
      <c r="C38" s="11"/>
      <c r="D38" s="11"/>
      <c r="E38" s="11"/>
      <c r="F38" s="11"/>
      <c r="G38" s="11"/>
      <c r="H38" s="11"/>
      <c r="I38" s="11"/>
      <c r="J38" s="11"/>
    </row>
    <row r="39" spans="1:10" ht="14.25" x14ac:dyDescent="0.2">
      <c r="A39" s="11"/>
      <c r="B39" s="11"/>
      <c r="C39" s="11"/>
      <c r="D39" s="11"/>
      <c r="E39" s="11"/>
      <c r="F39" s="11"/>
      <c r="G39" s="11"/>
      <c r="H39" s="11"/>
      <c r="I39" s="11"/>
      <c r="J39" s="11"/>
    </row>
    <row r="40" spans="1:10" ht="14.25" x14ac:dyDescent="0.2">
      <c r="A40" s="11"/>
      <c r="B40" s="33" t="s">
        <v>18</v>
      </c>
      <c r="C40" s="33"/>
      <c r="D40" s="33"/>
      <c r="E40" s="33"/>
      <c r="F40" s="33"/>
      <c r="G40" s="33" t="s">
        <v>132</v>
      </c>
      <c r="H40" s="33"/>
      <c r="I40" s="11"/>
      <c r="J40" s="11"/>
    </row>
    <row r="41" spans="1:10" ht="14.25" x14ac:dyDescent="0.2">
      <c r="A41" s="11"/>
      <c r="B41" s="11"/>
      <c r="C41" s="11"/>
      <c r="D41" s="11"/>
      <c r="E41" s="11"/>
      <c r="F41" s="11"/>
      <c r="G41" s="11"/>
      <c r="H41" s="11"/>
      <c r="I41" s="11"/>
      <c r="J41" s="11"/>
    </row>
    <row r="42" spans="1:10" ht="14.25" x14ac:dyDescent="0.2">
      <c r="A42" s="11"/>
      <c r="B42" s="48" t="s">
        <v>30</v>
      </c>
      <c r="C42" s="48"/>
      <c r="D42" s="48"/>
      <c r="E42" s="49"/>
      <c r="F42" s="11"/>
      <c r="G42" s="11"/>
      <c r="H42" s="11"/>
      <c r="I42" s="11"/>
      <c r="J42" s="11"/>
    </row>
    <row r="43" spans="1:10" ht="14.25" x14ac:dyDescent="0.2">
      <c r="A43" s="11"/>
      <c r="B43" s="11" t="s">
        <v>144</v>
      </c>
      <c r="C43" s="11"/>
      <c r="D43" s="11"/>
      <c r="E43" s="11"/>
      <c r="F43" s="11"/>
      <c r="G43" s="11"/>
      <c r="H43" s="11"/>
      <c r="I43" s="11"/>
      <c r="J43" s="11"/>
    </row>
    <row r="44" spans="1:10" ht="14.25" x14ac:dyDescent="0.2">
      <c r="A44" s="11"/>
      <c r="B44" s="11" t="s">
        <v>49</v>
      </c>
      <c r="C44" s="11"/>
      <c r="D44" s="11"/>
      <c r="E44" s="11"/>
      <c r="F44" s="11"/>
      <c r="G44" s="11"/>
      <c r="H44" s="11"/>
      <c r="I44" s="11"/>
      <c r="J44" s="11"/>
    </row>
  </sheetData>
  <mergeCells count="6">
    <mergeCell ref="B17:I17"/>
    <mergeCell ref="A2:J2"/>
    <mergeCell ref="A3:J3"/>
    <mergeCell ref="A4:J4"/>
    <mergeCell ref="A1:J1"/>
    <mergeCell ref="B10:D10"/>
  </mergeCells>
  <phoneticPr fontId="3" type="noConversion"/>
  <pageMargins left="0.74803149606299213" right="0.51181102362204722" top="0.19685039370078741" bottom="0.39370078740157483" header="0.51181102362204722" footer="0.51181102362204722"/>
  <pageSetup paperSize="5" orientation="portrait" horizontalDpi="4294967293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2"/>
  <sheetViews>
    <sheetView tabSelected="1" workbookViewId="0">
      <selection activeCell="J74" sqref="J74"/>
    </sheetView>
  </sheetViews>
  <sheetFormatPr defaultRowHeight="12.75" x14ac:dyDescent="0.2"/>
  <cols>
    <col min="1" max="1" width="5.28515625" customWidth="1"/>
    <col min="2" max="2" width="11.42578125" customWidth="1"/>
    <col min="3" max="3" width="27.140625" customWidth="1"/>
    <col min="4" max="4" width="5.140625" customWidth="1"/>
    <col min="5" max="5" width="5.7109375" customWidth="1"/>
    <col min="6" max="6" width="14.42578125" customWidth="1"/>
    <col min="7" max="7" width="11.7109375" customWidth="1"/>
    <col min="8" max="8" width="10.7109375" customWidth="1"/>
    <col min="9" max="9" width="11.85546875" customWidth="1"/>
    <col min="10" max="10" width="12.7109375" customWidth="1"/>
    <col min="11" max="11" width="11.7109375" customWidth="1"/>
    <col min="12" max="13" width="12.7109375" customWidth="1"/>
  </cols>
  <sheetData>
    <row r="1" spans="1:13" ht="14.25" x14ac:dyDescent="0.2">
      <c r="A1" s="63" t="s">
        <v>7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4.25" x14ac:dyDescent="0.2">
      <c r="A2" s="63" t="s">
        <v>67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4.25" x14ac:dyDescent="0.2">
      <c r="A3" s="63" t="s">
        <v>115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4.25" x14ac:dyDescent="0.2">
      <c r="A4" s="63" t="s">
        <v>116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</row>
    <row r="5" spans="1:13" s="1" customFormat="1" ht="15.95" customHeight="1" thickBot="1" x14ac:dyDescent="0.3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</row>
    <row r="6" spans="1:13" s="1" customFormat="1" ht="15.95" customHeight="1" x14ac:dyDescent="0.3">
      <c r="A6" s="78" t="s">
        <v>0</v>
      </c>
      <c r="B6" s="72" t="s">
        <v>2</v>
      </c>
      <c r="C6" s="76" t="s">
        <v>3</v>
      </c>
      <c r="D6" s="66" t="s">
        <v>4</v>
      </c>
      <c r="E6" s="67"/>
      <c r="F6" s="68" t="s">
        <v>12</v>
      </c>
      <c r="G6" s="74" t="s">
        <v>17</v>
      </c>
      <c r="H6" s="75"/>
      <c r="I6" s="75"/>
      <c r="J6" s="75"/>
      <c r="K6" s="75"/>
      <c r="L6" s="76"/>
      <c r="M6" s="64" t="s">
        <v>5</v>
      </c>
    </row>
    <row r="7" spans="1:13" s="1" customFormat="1" ht="15.95" customHeight="1" thickBot="1" x14ac:dyDescent="0.35">
      <c r="A7" s="79"/>
      <c r="B7" s="73"/>
      <c r="C7" s="77"/>
      <c r="D7" s="17" t="s">
        <v>13</v>
      </c>
      <c r="E7" s="17" t="s">
        <v>1</v>
      </c>
      <c r="F7" s="69"/>
      <c r="G7" s="10" t="s">
        <v>9</v>
      </c>
      <c r="H7" s="10" t="s">
        <v>8</v>
      </c>
      <c r="I7" s="10" t="s">
        <v>10</v>
      </c>
      <c r="J7" s="10" t="s">
        <v>16</v>
      </c>
      <c r="K7" s="10" t="s">
        <v>11</v>
      </c>
      <c r="L7" s="10" t="s">
        <v>15</v>
      </c>
      <c r="M7" s="65"/>
    </row>
    <row r="8" spans="1:13" s="1" customFormat="1" ht="18" customHeight="1" thickTop="1" x14ac:dyDescent="0.3">
      <c r="A8" s="12">
        <v>1</v>
      </c>
      <c r="B8" s="13"/>
      <c r="C8" s="14" t="s">
        <v>40</v>
      </c>
      <c r="D8" s="13" t="s">
        <v>41</v>
      </c>
      <c r="E8" s="13"/>
      <c r="F8" s="15">
        <v>9500000</v>
      </c>
      <c r="G8" s="15"/>
      <c r="H8" s="15"/>
      <c r="I8" s="15"/>
      <c r="J8" s="15"/>
      <c r="K8" s="15"/>
      <c r="L8" s="15"/>
      <c r="M8" s="16">
        <f>F8</f>
        <v>9500000</v>
      </c>
    </row>
    <row r="9" spans="1:13" s="1" customFormat="1" ht="18" customHeight="1" x14ac:dyDescent="0.3">
      <c r="A9" s="12">
        <v>2</v>
      </c>
      <c r="B9" s="50">
        <v>43902</v>
      </c>
      <c r="C9" s="14" t="s">
        <v>69</v>
      </c>
      <c r="D9" s="13"/>
      <c r="E9" s="13" t="s">
        <v>73</v>
      </c>
      <c r="F9" s="15"/>
      <c r="G9" s="15">
        <v>55000</v>
      </c>
      <c r="H9" s="15"/>
      <c r="I9" s="15"/>
      <c r="J9" s="15"/>
      <c r="K9" s="15"/>
      <c r="L9" s="15">
        <f t="shared" ref="L9:L53" si="0">SUM(G9:K9)</f>
        <v>55000</v>
      </c>
      <c r="M9" s="16">
        <f>M8-L9</f>
        <v>9445000</v>
      </c>
    </row>
    <row r="10" spans="1:13" s="1" customFormat="1" ht="18" customHeight="1" x14ac:dyDescent="0.3">
      <c r="A10" s="12">
        <v>3</v>
      </c>
      <c r="B10" s="50">
        <v>43909</v>
      </c>
      <c r="C10" s="14" t="s">
        <v>69</v>
      </c>
      <c r="D10" s="13"/>
      <c r="E10" s="13" t="s">
        <v>74</v>
      </c>
      <c r="F10" s="15"/>
      <c r="G10" s="15">
        <v>18800</v>
      </c>
      <c r="H10" s="15"/>
      <c r="I10" s="15"/>
      <c r="J10" s="15"/>
      <c r="K10" s="15"/>
      <c r="L10" s="15">
        <f t="shared" si="0"/>
        <v>18800</v>
      </c>
      <c r="M10" s="16">
        <f t="shared" ref="M10:M53" si="1">M9-L10</f>
        <v>9426200</v>
      </c>
    </row>
    <row r="11" spans="1:13" s="1" customFormat="1" ht="18" customHeight="1" x14ac:dyDescent="0.3">
      <c r="A11" s="12">
        <v>4</v>
      </c>
      <c r="B11" s="50">
        <v>43909</v>
      </c>
      <c r="C11" s="14" t="s">
        <v>107</v>
      </c>
      <c r="D11" s="13"/>
      <c r="E11" s="13" t="s">
        <v>75</v>
      </c>
      <c r="F11" s="15"/>
      <c r="G11" s="15">
        <v>2000</v>
      </c>
      <c r="H11" s="15"/>
      <c r="I11" s="15"/>
      <c r="J11" s="15"/>
      <c r="K11" s="15"/>
      <c r="L11" s="15">
        <f t="shared" si="0"/>
        <v>2000</v>
      </c>
      <c r="M11" s="16">
        <f t="shared" si="1"/>
        <v>9424200</v>
      </c>
    </row>
    <row r="12" spans="1:13" s="1" customFormat="1" ht="18" customHeight="1" x14ac:dyDescent="0.3">
      <c r="A12" s="12">
        <v>5</v>
      </c>
      <c r="B12" s="50">
        <v>43909</v>
      </c>
      <c r="C12" s="14" t="s">
        <v>108</v>
      </c>
      <c r="D12" s="13"/>
      <c r="E12" s="13" t="s">
        <v>76</v>
      </c>
      <c r="F12" s="15"/>
      <c r="G12" s="15">
        <v>18000</v>
      </c>
      <c r="H12" s="15"/>
      <c r="I12" s="15"/>
      <c r="J12" s="15"/>
      <c r="K12" s="15"/>
      <c r="L12" s="15">
        <f>SUM(G12:K12)</f>
        <v>18000</v>
      </c>
      <c r="M12" s="16">
        <f t="shared" si="1"/>
        <v>9406200</v>
      </c>
    </row>
    <row r="13" spans="1:13" s="1" customFormat="1" ht="18" customHeight="1" x14ac:dyDescent="0.3">
      <c r="A13" s="12">
        <v>6</v>
      </c>
      <c r="B13" s="50">
        <v>43909</v>
      </c>
      <c r="C13" s="14" t="s">
        <v>109</v>
      </c>
      <c r="D13" s="13"/>
      <c r="E13" s="13" t="s">
        <v>77</v>
      </c>
      <c r="F13" s="15"/>
      <c r="G13" s="15">
        <v>25000</v>
      </c>
      <c r="H13" s="15"/>
      <c r="I13" s="15"/>
      <c r="J13" s="15"/>
      <c r="K13" s="15"/>
      <c r="L13" s="15">
        <f>SUM(G13:K13)</f>
        <v>25000</v>
      </c>
      <c r="M13" s="16">
        <f t="shared" si="1"/>
        <v>9381200</v>
      </c>
    </row>
    <row r="14" spans="1:13" s="1" customFormat="1" ht="18" customHeight="1" x14ac:dyDescent="0.3">
      <c r="A14" s="12">
        <v>7</v>
      </c>
      <c r="B14" s="50">
        <v>43909</v>
      </c>
      <c r="C14" s="14" t="s">
        <v>114</v>
      </c>
      <c r="D14" s="13"/>
      <c r="E14" s="13" t="s">
        <v>78</v>
      </c>
      <c r="F14" s="15"/>
      <c r="G14" s="15"/>
      <c r="H14" s="15"/>
      <c r="I14" s="15">
        <v>45000</v>
      </c>
      <c r="J14" s="15"/>
      <c r="K14" s="15"/>
      <c r="L14" s="15">
        <f>SUM(G14:K14)</f>
        <v>45000</v>
      </c>
      <c r="M14" s="16">
        <f t="shared" si="1"/>
        <v>9336200</v>
      </c>
    </row>
    <row r="15" spans="1:13" s="1" customFormat="1" ht="18" customHeight="1" x14ac:dyDescent="0.3">
      <c r="A15" s="12">
        <v>8</v>
      </c>
      <c r="B15" s="50">
        <v>43910</v>
      </c>
      <c r="C15" s="14" t="s">
        <v>110</v>
      </c>
      <c r="D15" s="13"/>
      <c r="E15" s="13" t="s">
        <v>79</v>
      </c>
      <c r="F15" s="15"/>
      <c r="G15" s="15">
        <v>20500</v>
      </c>
      <c r="H15" s="15"/>
      <c r="I15" s="15"/>
      <c r="J15" s="15"/>
      <c r="K15" s="15"/>
      <c r="L15" s="15">
        <f>SUM(G15:K15)</f>
        <v>20500</v>
      </c>
      <c r="M15" s="16">
        <f t="shared" si="1"/>
        <v>9315700</v>
      </c>
    </row>
    <row r="16" spans="1:13" s="1" customFormat="1" ht="18" customHeight="1" x14ac:dyDescent="0.3">
      <c r="A16" s="12">
        <v>9</v>
      </c>
      <c r="B16" s="50">
        <v>43910</v>
      </c>
      <c r="C16" s="14" t="s">
        <v>114</v>
      </c>
      <c r="D16" s="13"/>
      <c r="E16" s="13" t="s">
        <v>80</v>
      </c>
      <c r="F16" s="15"/>
      <c r="G16" s="15"/>
      <c r="H16" s="15"/>
      <c r="I16" s="15">
        <v>30000</v>
      </c>
      <c r="J16" s="15"/>
      <c r="K16" s="15"/>
      <c r="L16" s="15">
        <f>SUM(I16:K16)</f>
        <v>30000</v>
      </c>
      <c r="M16" s="16">
        <f t="shared" si="1"/>
        <v>9285700</v>
      </c>
    </row>
    <row r="17" spans="1:13" s="1" customFormat="1" ht="18" customHeight="1" x14ac:dyDescent="0.3">
      <c r="A17" s="12">
        <v>10</v>
      </c>
      <c r="B17" s="50">
        <v>43911</v>
      </c>
      <c r="C17" s="14" t="s">
        <v>140</v>
      </c>
      <c r="D17" s="13"/>
      <c r="E17" s="13" t="s">
        <v>81</v>
      </c>
      <c r="F17" s="15"/>
      <c r="G17" s="15"/>
      <c r="H17" s="15"/>
      <c r="I17" s="15">
        <v>90000</v>
      </c>
      <c r="J17" s="15"/>
      <c r="K17" s="15"/>
      <c r="L17" s="15">
        <f>SUM(I17:K17)</f>
        <v>90000</v>
      </c>
      <c r="M17" s="16">
        <f>M16-L17</f>
        <v>9195700</v>
      </c>
    </row>
    <row r="18" spans="1:13" s="1" customFormat="1" ht="18" customHeight="1" x14ac:dyDescent="0.3">
      <c r="A18" s="12">
        <v>11</v>
      </c>
      <c r="B18" s="50">
        <v>43912</v>
      </c>
      <c r="C18" s="52" t="s">
        <v>105</v>
      </c>
      <c r="D18" s="13"/>
      <c r="E18" s="13" t="s">
        <v>82</v>
      </c>
      <c r="F18" s="15"/>
      <c r="G18" s="15"/>
      <c r="H18" s="15"/>
      <c r="I18" s="15">
        <v>9000</v>
      </c>
      <c r="J18" s="15"/>
      <c r="K18" s="15"/>
      <c r="L18" s="15">
        <f t="shared" si="0"/>
        <v>9000</v>
      </c>
      <c r="M18" s="16">
        <f t="shared" si="1"/>
        <v>9186700</v>
      </c>
    </row>
    <row r="19" spans="1:13" s="1" customFormat="1" ht="18" customHeight="1" x14ac:dyDescent="0.3">
      <c r="A19" s="12">
        <v>12</v>
      </c>
      <c r="B19" s="50">
        <v>43912</v>
      </c>
      <c r="C19" s="52" t="s">
        <v>105</v>
      </c>
      <c r="D19" s="13"/>
      <c r="E19" s="13" t="s">
        <v>83</v>
      </c>
      <c r="F19" s="15"/>
      <c r="G19" s="15"/>
      <c r="H19" s="15"/>
      <c r="I19" s="15">
        <v>24000</v>
      </c>
      <c r="J19" s="15"/>
      <c r="K19" s="15"/>
      <c r="L19" s="15">
        <f t="shared" si="0"/>
        <v>24000</v>
      </c>
      <c r="M19" s="16">
        <f t="shared" si="1"/>
        <v>9162700</v>
      </c>
    </row>
    <row r="20" spans="1:13" s="1" customFormat="1" ht="18" customHeight="1" x14ac:dyDescent="0.3">
      <c r="A20" s="12">
        <v>13</v>
      </c>
      <c r="B20" s="50">
        <v>43912</v>
      </c>
      <c r="C20" s="52" t="s">
        <v>134</v>
      </c>
      <c r="D20" s="53"/>
      <c r="E20" s="13" t="s">
        <v>84</v>
      </c>
      <c r="F20" s="54"/>
      <c r="G20" s="54"/>
      <c r="H20" s="54"/>
      <c r="I20" s="54">
        <v>90000</v>
      </c>
      <c r="J20" s="15"/>
      <c r="K20" s="15"/>
      <c r="L20" s="15">
        <f>SUM(G20:K20)</f>
        <v>90000</v>
      </c>
      <c r="M20" s="16">
        <f t="shared" si="1"/>
        <v>9072700</v>
      </c>
    </row>
    <row r="21" spans="1:13" s="1" customFormat="1" ht="18" customHeight="1" x14ac:dyDescent="0.3">
      <c r="A21" s="12">
        <v>14</v>
      </c>
      <c r="B21" s="50">
        <v>43912</v>
      </c>
      <c r="C21" s="14" t="s">
        <v>111</v>
      </c>
      <c r="D21" s="13"/>
      <c r="E21" s="13" t="s">
        <v>85</v>
      </c>
      <c r="F21" s="15"/>
      <c r="G21" s="15">
        <v>51200</v>
      </c>
      <c r="H21" s="15"/>
      <c r="I21" s="15"/>
      <c r="J21" s="15"/>
      <c r="K21" s="15"/>
      <c r="L21" s="15">
        <f>SUM(G21:K21)</f>
        <v>51200</v>
      </c>
      <c r="M21" s="16">
        <f t="shared" si="1"/>
        <v>9021500</v>
      </c>
    </row>
    <row r="22" spans="1:13" s="1" customFormat="1" ht="18" customHeight="1" x14ac:dyDescent="0.3">
      <c r="A22" s="12">
        <v>15</v>
      </c>
      <c r="B22" s="50">
        <v>43913</v>
      </c>
      <c r="C22" s="14" t="s">
        <v>114</v>
      </c>
      <c r="D22" s="13"/>
      <c r="E22" s="13" t="s">
        <v>86</v>
      </c>
      <c r="F22" s="15"/>
      <c r="G22" s="15"/>
      <c r="H22" s="15"/>
      <c r="I22" s="15">
        <v>45000</v>
      </c>
      <c r="J22" s="15"/>
      <c r="K22" s="15"/>
      <c r="L22" s="15">
        <f>SUM(G22:K22)</f>
        <v>45000</v>
      </c>
      <c r="M22" s="16">
        <f t="shared" si="1"/>
        <v>8976500</v>
      </c>
    </row>
    <row r="23" spans="1:13" s="1" customFormat="1" ht="18" customHeight="1" x14ac:dyDescent="0.3">
      <c r="A23" s="12">
        <v>16</v>
      </c>
      <c r="B23" s="50">
        <v>43913</v>
      </c>
      <c r="C23" s="52" t="s">
        <v>105</v>
      </c>
      <c r="D23" s="13"/>
      <c r="E23" s="13" t="s">
        <v>87</v>
      </c>
      <c r="F23" s="15"/>
      <c r="G23" s="15"/>
      <c r="H23" s="15"/>
      <c r="I23" s="15">
        <v>9000</v>
      </c>
      <c r="J23" s="15"/>
      <c r="K23" s="15"/>
      <c r="L23" s="15">
        <f t="shared" si="0"/>
        <v>9000</v>
      </c>
      <c r="M23" s="16">
        <f t="shared" si="1"/>
        <v>8967500</v>
      </c>
    </row>
    <row r="24" spans="1:13" s="1" customFormat="1" ht="18" customHeight="1" x14ac:dyDescent="0.3">
      <c r="A24" s="12">
        <v>17</v>
      </c>
      <c r="B24" s="50">
        <v>43913</v>
      </c>
      <c r="C24" s="52" t="s">
        <v>105</v>
      </c>
      <c r="D24" s="13"/>
      <c r="E24" s="13" t="s">
        <v>88</v>
      </c>
      <c r="F24" s="15"/>
      <c r="G24" s="15"/>
      <c r="H24" s="15"/>
      <c r="I24" s="15">
        <v>96500</v>
      </c>
      <c r="J24" s="15"/>
      <c r="K24" s="15"/>
      <c r="L24" s="15">
        <f>SUM(G24:K24)</f>
        <v>96500</v>
      </c>
      <c r="M24" s="16">
        <f t="shared" si="1"/>
        <v>8871000</v>
      </c>
    </row>
    <row r="25" spans="1:13" s="1" customFormat="1" ht="18" customHeight="1" x14ac:dyDescent="0.3">
      <c r="A25" s="12">
        <v>18</v>
      </c>
      <c r="B25" s="50">
        <v>43913</v>
      </c>
      <c r="C25" s="52" t="s">
        <v>134</v>
      </c>
      <c r="D25" s="53"/>
      <c r="E25" s="13" t="s">
        <v>89</v>
      </c>
      <c r="F25" s="54"/>
      <c r="G25" s="54"/>
      <c r="H25" s="54"/>
      <c r="I25" s="54">
        <v>97500</v>
      </c>
      <c r="J25" s="54"/>
      <c r="K25" s="54"/>
      <c r="L25" s="54">
        <f t="shared" si="0"/>
        <v>97500</v>
      </c>
      <c r="M25" s="16">
        <f t="shared" si="1"/>
        <v>8773500</v>
      </c>
    </row>
    <row r="26" spans="1:13" s="1" customFormat="1" ht="18" customHeight="1" x14ac:dyDescent="0.3">
      <c r="A26" s="12">
        <v>19</v>
      </c>
      <c r="B26" s="50">
        <v>43914</v>
      </c>
      <c r="C26" s="14" t="s">
        <v>114</v>
      </c>
      <c r="D26" s="53"/>
      <c r="E26" s="13" t="s">
        <v>90</v>
      </c>
      <c r="F26" s="54"/>
      <c r="G26" s="54"/>
      <c r="H26" s="54"/>
      <c r="I26" s="54">
        <v>70000</v>
      </c>
      <c r="J26" s="54"/>
      <c r="K26" s="54"/>
      <c r="L26" s="54">
        <f t="shared" si="0"/>
        <v>70000</v>
      </c>
      <c r="M26" s="16">
        <f t="shared" si="1"/>
        <v>8703500</v>
      </c>
    </row>
    <row r="27" spans="1:13" s="1" customFormat="1" ht="18" customHeight="1" x14ac:dyDescent="0.3">
      <c r="A27" s="12">
        <v>20</v>
      </c>
      <c r="B27" s="50">
        <v>43914</v>
      </c>
      <c r="C27" s="52" t="s">
        <v>105</v>
      </c>
      <c r="D27" s="53"/>
      <c r="E27" s="13" t="s">
        <v>91</v>
      </c>
      <c r="F27" s="54"/>
      <c r="G27" s="54"/>
      <c r="H27" s="54"/>
      <c r="I27" s="54">
        <v>9000</v>
      </c>
      <c r="J27" s="54"/>
      <c r="K27" s="54"/>
      <c r="L27" s="54">
        <f>SUM(G27:K27)</f>
        <v>9000</v>
      </c>
      <c r="M27" s="16">
        <f t="shared" si="1"/>
        <v>8694500</v>
      </c>
    </row>
    <row r="28" spans="1:13" s="1" customFormat="1" ht="18" customHeight="1" x14ac:dyDescent="0.3">
      <c r="A28" s="12">
        <v>21</v>
      </c>
      <c r="B28" s="50">
        <v>43914</v>
      </c>
      <c r="C28" s="52" t="s">
        <v>105</v>
      </c>
      <c r="D28" s="53"/>
      <c r="E28" s="13" t="s">
        <v>92</v>
      </c>
      <c r="F28" s="54"/>
      <c r="G28" s="54"/>
      <c r="H28" s="54"/>
      <c r="I28" s="54">
        <v>20000</v>
      </c>
      <c r="J28" s="54"/>
      <c r="K28" s="54"/>
      <c r="L28" s="54">
        <f t="shared" si="0"/>
        <v>20000</v>
      </c>
      <c r="M28" s="16">
        <f t="shared" si="1"/>
        <v>8674500</v>
      </c>
    </row>
    <row r="29" spans="1:13" s="1" customFormat="1" ht="18" customHeight="1" x14ac:dyDescent="0.3">
      <c r="A29" s="12">
        <v>22</v>
      </c>
      <c r="B29" s="50">
        <v>43914</v>
      </c>
      <c r="C29" s="52" t="s">
        <v>134</v>
      </c>
      <c r="D29" s="53"/>
      <c r="E29" s="13" t="s">
        <v>93</v>
      </c>
      <c r="F29" s="54"/>
      <c r="G29" s="54"/>
      <c r="H29" s="54"/>
      <c r="I29" s="54">
        <v>97500</v>
      </c>
      <c r="J29" s="54"/>
      <c r="K29" s="54"/>
      <c r="L29" s="54">
        <f t="shared" si="0"/>
        <v>97500</v>
      </c>
      <c r="M29" s="16">
        <f t="shared" si="1"/>
        <v>8577000</v>
      </c>
    </row>
    <row r="30" spans="1:13" s="1" customFormat="1" ht="18" customHeight="1" x14ac:dyDescent="0.3">
      <c r="A30" s="12">
        <v>23</v>
      </c>
      <c r="B30" s="50">
        <v>43915</v>
      </c>
      <c r="C30" s="14" t="s">
        <v>114</v>
      </c>
      <c r="D30" s="53"/>
      <c r="E30" s="13" t="s">
        <v>94</v>
      </c>
      <c r="F30" s="54"/>
      <c r="G30" s="54"/>
      <c r="H30" s="54"/>
      <c r="I30" s="54">
        <v>70000</v>
      </c>
      <c r="J30" s="54"/>
      <c r="K30" s="54"/>
      <c r="L30" s="54">
        <f t="shared" si="0"/>
        <v>70000</v>
      </c>
      <c r="M30" s="16">
        <f t="shared" si="1"/>
        <v>8507000</v>
      </c>
    </row>
    <row r="31" spans="1:13" s="1" customFormat="1" ht="18" customHeight="1" x14ac:dyDescent="0.3">
      <c r="A31" s="12">
        <v>24</v>
      </c>
      <c r="B31" s="50">
        <v>43915</v>
      </c>
      <c r="C31" s="52" t="s">
        <v>105</v>
      </c>
      <c r="D31" s="53"/>
      <c r="E31" s="13" t="s">
        <v>95</v>
      </c>
      <c r="F31" s="54"/>
      <c r="G31" s="54"/>
      <c r="H31" s="54"/>
      <c r="I31" s="54">
        <v>42000</v>
      </c>
      <c r="J31" s="54"/>
      <c r="K31" s="54"/>
      <c r="L31" s="54">
        <f t="shared" si="0"/>
        <v>42000</v>
      </c>
      <c r="M31" s="16">
        <f t="shared" si="1"/>
        <v>8465000</v>
      </c>
    </row>
    <row r="32" spans="1:13" s="1" customFormat="1" ht="18" customHeight="1" x14ac:dyDescent="0.3">
      <c r="A32" s="12">
        <v>25</v>
      </c>
      <c r="B32" s="50">
        <v>43915</v>
      </c>
      <c r="C32" s="52" t="s">
        <v>105</v>
      </c>
      <c r="D32" s="53"/>
      <c r="E32" s="13" t="s">
        <v>96</v>
      </c>
      <c r="F32" s="54"/>
      <c r="G32" s="54"/>
      <c r="H32" s="54"/>
      <c r="I32" s="54">
        <v>10000</v>
      </c>
      <c r="J32" s="54"/>
      <c r="K32" s="54"/>
      <c r="L32" s="54">
        <f t="shared" si="0"/>
        <v>10000</v>
      </c>
      <c r="M32" s="16">
        <f t="shared" si="1"/>
        <v>8455000</v>
      </c>
    </row>
    <row r="33" spans="1:13" s="1" customFormat="1" ht="18" customHeight="1" x14ac:dyDescent="0.3">
      <c r="A33" s="12">
        <v>26</v>
      </c>
      <c r="B33" s="50">
        <v>43915</v>
      </c>
      <c r="C33" s="52" t="s">
        <v>105</v>
      </c>
      <c r="D33" s="53"/>
      <c r="E33" s="13" t="s">
        <v>97</v>
      </c>
      <c r="F33" s="54"/>
      <c r="G33" s="54"/>
      <c r="H33" s="54"/>
      <c r="I33" s="54">
        <v>20000</v>
      </c>
      <c r="J33" s="54"/>
      <c r="K33" s="54"/>
      <c r="L33" s="54">
        <f t="shared" si="0"/>
        <v>20000</v>
      </c>
      <c r="M33" s="16">
        <f t="shared" si="1"/>
        <v>8435000</v>
      </c>
    </row>
    <row r="34" spans="1:13" s="1" customFormat="1" ht="18" customHeight="1" x14ac:dyDescent="0.3">
      <c r="A34" s="12">
        <v>27</v>
      </c>
      <c r="B34" s="50">
        <v>43915</v>
      </c>
      <c r="C34" s="52" t="s">
        <v>134</v>
      </c>
      <c r="D34" s="53"/>
      <c r="E34" s="13" t="s">
        <v>98</v>
      </c>
      <c r="F34" s="54"/>
      <c r="G34" s="54"/>
      <c r="H34" s="54"/>
      <c r="I34" s="54">
        <v>97500</v>
      </c>
      <c r="J34" s="54"/>
      <c r="K34" s="54"/>
      <c r="L34" s="54">
        <f>SUM(I34:K34)</f>
        <v>97500</v>
      </c>
      <c r="M34" s="16">
        <f t="shared" si="1"/>
        <v>8337500</v>
      </c>
    </row>
    <row r="35" spans="1:13" s="1" customFormat="1" ht="18" customHeight="1" x14ac:dyDescent="0.3">
      <c r="A35" s="12">
        <v>28</v>
      </c>
      <c r="B35" s="50">
        <v>43916</v>
      </c>
      <c r="C35" s="14" t="s">
        <v>114</v>
      </c>
      <c r="D35" s="53"/>
      <c r="E35" s="13" t="s">
        <v>99</v>
      </c>
      <c r="F35" s="54"/>
      <c r="G35" s="54"/>
      <c r="H35" s="54"/>
      <c r="I35" s="54">
        <v>100000</v>
      </c>
      <c r="J35" s="54"/>
      <c r="K35" s="54"/>
      <c r="L35" s="54">
        <f>SUM(I35:K35)</f>
        <v>100000</v>
      </c>
      <c r="M35" s="16">
        <f t="shared" si="1"/>
        <v>8237500</v>
      </c>
    </row>
    <row r="36" spans="1:13" s="1" customFormat="1" ht="18" customHeight="1" x14ac:dyDescent="0.3">
      <c r="A36" s="12">
        <v>29</v>
      </c>
      <c r="B36" s="50">
        <v>43916</v>
      </c>
      <c r="C36" s="52" t="s">
        <v>105</v>
      </c>
      <c r="D36" s="53"/>
      <c r="E36" s="13" t="s">
        <v>100</v>
      </c>
      <c r="F36" s="54"/>
      <c r="G36" s="54"/>
      <c r="H36" s="54"/>
      <c r="I36" s="54">
        <v>22000</v>
      </c>
      <c r="J36" s="54"/>
      <c r="K36" s="54"/>
      <c r="L36" s="54">
        <f t="shared" si="0"/>
        <v>22000</v>
      </c>
      <c r="M36" s="16">
        <f t="shared" si="1"/>
        <v>8215500</v>
      </c>
    </row>
    <row r="37" spans="1:13" s="1" customFormat="1" ht="18" customHeight="1" x14ac:dyDescent="0.3">
      <c r="A37" s="12">
        <v>30</v>
      </c>
      <c r="B37" s="50">
        <v>43916</v>
      </c>
      <c r="C37" s="52" t="s">
        <v>105</v>
      </c>
      <c r="D37" s="53"/>
      <c r="E37" s="13" t="s">
        <v>101</v>
      </c>
      <c r="F37" s="54"/>
      <c r="G37" s="54"/>
      <c r="H37" s="54"/>
      <c r="I37" s="54">
        <v>9000</v>
      </c>
      <c r="J37" s="54"/>
      <c r="K37" s="54"/>
      <c r="L37" s="54">
        <f t="shared" si="0"/>
        <v>9000</v>
      </c>
      <c r="M37" s="16">
        <f t="shared" si="1"/>
        <v>8206500</v>
      </c>
    </row>
    <row r="38" spans="1:13" s="1" customFormat="1" ht="18" customHeight="1" x14ac:dyDescent="0.3">
      <c r="A38" s="12">
        <v>31</v>
      </c>
      <c r="B38" s="50">
        <v>43916</v>
      </c>
      <c r="C38" s="52" t="s">
        <v>134</v>
      </c>
      <c r="D38" s="53"/>
      <c r="E38" s="13" t="s">
        <v>117</v>
      </c>
      <c r="F38" s="54"/>
      <c r="G38" s="54"/>
      <c r="H38" s="54"/>
      <c r="I38" s="54">
        <v>70000</v>
      </c>
      <c r="J38" s="54"/>
      <c r="K38" s="54"/>
      <c r="L38" s="54">
        <f>SUM(G38:K38)</f>
        <v>70000</v>
      </c>
      <c r="M38" s="16">
        <f t="shared" si="1"/>
        <v>8136500</v>
      </c>
    </row>
    <row r="39" spans="1:13" s="1" customFormat="1" ht="18" customHeight="1" x14ac:dyDescent="0.3">
      <c r="A39" s="12">
        <v>32</v>
      </c>
      <c r="B39" s="50">
        <v>43917</v>
      </c>
      <c r="C39" s="14" t="s">
        <v>114</v>
      </c>
      <c r="D39" s="53"/>
      <c r="E39" s="13" t="s">
        <v>118</v>
      </c>
      <c r="F39" s="54"/>
      <c r="G39" s="54"/>
      <c r="H39" s="54"/>
      <c r="I39" s="54">
        <v>97500</v>
      </c>
      <c r="J39" s="54"/>
      <c r="K39" s="54"/>
      <c r="L39" s="54">
        <f>SUM(G39:K39)</f>
        <v>97500</v>
      </c>
      <c r="M39" s="16">
        <f t="shared" si="1"/>
        <v>8039000</v>
      </c>
    </row>
    <row r="40" spans="1:13" s="1" customFormat="1" ht="18" customHeight="1" x14ac:dyDescent="0.3">
      <c r="A40" s="12">
        <v>33</v>
      </c>
      <c r="B40" s="50">
        <v>43917</v>
      </c>
      <c r="C40" s="52" t="s">
        <v>105</v>
      </c>
      <c r="D40" s="53"/>
      <c r="E40" s="13" t="s">
        <v>119</v>
      </c>
      <c r="F40" s="54"/>
      <c r="G40" s="54"/>
      <c r="H40" s="54"/>
      <c r="I40" s="54">
        <v>30000</v>
      </c>
      <c r="J40" s="54"/>
      <c r="K40" s="54"/>
      <c r="L40" s="54">
        <f t="shared" si="0"/>
        <v>30000</v>
      </c>
      <c r="M40" s="16">
        <f t="shared" si="1"/>
        <v>8009000</v>
      </c>
    </row>
    <row r="41" spans="1:13" s="1" customFormat="1" ht="18" customHeight="1" x14ac:dyDescent="0.3">
      <c r="A41" s="12">
        <v>34</v>
      </c>
      <c r="B41" s="50">
        <v>43917</v>
      </c>
      <c r="C41" s="52" t="s">
        <v>105</v>
      </c>
      <c r="D41" s="53"/>
      <c r="E41" s="13" t="s">
        <v>120</v>
      </c>
      <c r="F41" s="54"/>
      <c r="G41" s="54"/>
      <c r="H41" s="54"/>
      <c r="I41" s="54">
        <v>13500</v>
      </c>
      <c r="J41" s="54"/>
      <c r="K41" s="54"/>
      <c r="L41" s="54">
        <f>SUM(G41:K41)</f>
        <v>13500</v>
      </c>
      <c r="M41" s="16">
        <f t="shared" si="1"/>
        <v>7995500</v>
      </c>
    </row>
    <row r="42" spans="1:13" s="1" customFormat="1" ht="18" customHeight="1" x14ac:dyDescent="0.3">
      <c r="A42" s="12">
        <v>35</v>
      </c>
      <c r="B42" s="50">
        <v>43917</v>
      </c>
      <c r="C42" s="52" t="s">
        <v>105</v>
      </c>
      <c r="D42" s="53"/>
      <c r="E42" s="13" t="s">
        <v>121</v>
      </c>
      <c r="F42" s="54"/>
      <c r="G42" s="54"/>
      <c r="H42" s="54"/>
      <c r="I42" s="54">
        <v>48000</v>
      </c>
      <c r="J42" s="54"/>
      <c r="K42" s="54"/>
      <c r="L42" s="54">
        <f t="shared" si="0"/>
        <v>48000</v>
      </c>
      <c r="M42" s="16">
        <f t="shared" si="1"/>
        <v>7947500</v>
      </c>
    </row>
    <row r="43" spans="1:13" s="1" customFormat="1" ht="18" customHeight="1" x14ac:dyDescent="0.3">
      <c r="A43" s="12">
        <v>36</v>
      </c>
      <c r="B43" s="50">
        <v>43917</v>
      </c>
      <c r="C43" s="52" t="s">
        <v>105</v>
      </c>
      <c r="D43" s="53"/>
      <c r="E43" s="13" t="s">
        <v>122</v>
      </c>
      <c r="F43" s="54"/>
      <c r="G43" s="54"/>
      <c r="H43" s="54"/>
      <c r="I43" s="54">
        <v>36000</v>
      </c>
      <c r="J43" s="54"/>
      <c r="K43" s="54"/>
      <c r="L43" s="54">
        <f t="shared" si="0"/>
        <v>36000</v>
      </c>
      <c r="M43" s="16">
        <f t="shared" si="1"/>
        <v>7911500</v>
      </c>
    </row>
    <row r="44" spans="1:13" s="1" customFormat="1" ht="18" customHeight="1" x14ac:dyDescent="0.3">
      <c r="A44" s="12">
        <v>37</v>
      </c>
      <c r="B44" s="50">
        <v>43917</v>
      </c>
      <c r="C44" s="52" t="s">
        <v>105</v>
      </c>
      <c r="D44" s="53"/>
      <c r="E44" s="13" t="s">
        <v>123</v>
      </c>
      <c r="F44" s="54"/>
      <c r="G44" s="54"/>
      <c r="H44" s="54"/>
      <c r="I44" s="54">
        <v>18000</v>
      </c>
      <c r="J44" s="54"/>
      <c r="K44" s="54"/>
      <c r="L44" s="54">
        <f t="shared" si="0"/>
        <v>18000</v>
      </c>
      <c r="M44" s="16">
        <f t="shared" si="1"/>
        <v>7893500</v>
      </c>
    </row>
    <row r="45" spans="1:13" s="1" customFormat="1" ht="18" customHeight="1" x14ac:dyDescent="0.3">
      <c r="A45" s="12">
        <v>38</v>
      </c>
      <c r="B45" s="50">
        <v>43917</v>
      </c>
      <c r="C45" s="52" t="s">
        <v>105</v>
      </c>
      <c r="D45" s="53"/>
      <c r="E45" s="13" t="s">
        <v>124</v>
      </c>
      <c r="F45" s="54"/>
      <c r="G45" s="54"/>
      <c r="H45" s="54"/>
      <c r="I45" s="54">
        <v>97500</v>
      </c>
      <c r="J45" s="54"/>
      <c r="K45" s="54"/>
      <c r="L45" s="54">
        <f>SUM(G45:K45)</f>
        <v>97500</v>
      </c>
      <c r="M45" s="16">
        <f t="shared" si="1"/>
        <v>7796000</v>
      </c>
    </row>
    <row r="46" spans="1:13" s="1" customFormat="1" ht="18" customHeight="1" x14ac:dyDescent="0.3">
      <c r="A46" s="12">
        <v>39</v>
      </c>
      <c r="B46" s="50">
        <v>43917</v>
      </c>
      <c r="C46" s="52" t="s">
        <v>137</v>
      </c>
      <c r="D46" s="53"/>
      <c r="E46" s="13" t="s">
        <v>125</v>
      </c>
      <c r="F46" s="54"/>
      <c r="G46" s="54"/>
      <c r="H46" s="54"/>
      <c r="I46" s="54">
        <v>120000</v>
      </c>
      <c r="J46" s="54"/>
      <c r="K46" s="54"/>
      <c r="L46" s="54">
        <f t="shared" si="0"/>
        <v>120000</v>
      </c>
      <c r="M46" s="16">
        <f t="shared" si="1"/>
        <v>7676000</v>
      </c>
    </row>
    <row r="47" spans="1:13" s="1" customFormat="1" ht="18" customHeight="1" x14ac:dyDescent="0.3">
      <c r="A47" s="12">
        <v>40</v>
      </c>
      <c r="B47" s="50">
        <v>43918</v>
      </c>
      <c r="C47" s="52" t="s">
        <v>105</v>
      </c>
      <c r="D47" s="53"/>
      <c r="E47" s="13" t="s">
        <v>126</v>
      </c>
      <c r="F47" s="54"/>
      <c r="G47" s="54"/>
      <c r="H47" s="54"/>
      <c r="I47" s="54">
        <v>20000</v>
      </c>
      <c r="J47" s="54"/>
      <c r="K47" s="54"/>
      <c r="L47" s="54">
        <f>SUM(G47:K47)</f>
        <v>20000</v>
      </c>
      <c r="M47" s="16">
        <f t="shared" si="1"/>
        <v>7656000</v>
      </c>
    </row>
    <row r="48" spans="1:13" s="1" customFormat="1" ht="18" customHeight="1" x14ac:dyDescent="0.3">
      <c r="A48" s="12">
        <v>41</v>
      </c>
      <c r="B48" s="50">
        <v>43918</v>
      </c>
      <c r="C48" s="52" t="s">
        <v>138</v>
      </c>
      <c r="D48" s="53"/>
      <c r="E48" s="13" t="s">
        <v>127</v>
      </c>
      <c r="F48" s="54"/>
      <c r="G48" s="54"/>
      <c r="H48" s="54"/>
      <c r="I48" s="54">
        <v>13000</v>
      </c>
      <c r="J48" s="54"/>
      <c r="K48" s="54"/>
      <c r="L48" s="54">
        <f t="shared" si="0"/>
        <v>13000</v>
      </c>
      <c r="M48" s="16">
        <f t="shared" si="1"/>
        <v>7643000</v>
      </c>
    </row>
    <row r="49" spans="1:13" s="1" customFormat="1" ht="18" customHeight="1" x14ac:dyDescent="0.3">
      <c r="A49" s="12">
        <v>42</v>
      </c>
      <c r="B49" s="50">
        <v>43918</v>
      </c>
      <c r="C49" s="52" t="s">
        <v>105</v>
      </c>
      <c r="D49" s="53"/>
      <c r="E49" s="13" t="s">
        <v>128</v>
      </c>
      <c r="F49" s="54"/>
      <c r="G49" s="54"/>
      <c r="H49" s="54"/>
      <c r="I49" s="54">
        <v>160000</v>
      </c>
      <c r="J49" s="54"/>
      <c r="K49" s="54"/>
      <c r="L49" s="54">
        <f t="shared" si="0"/>
        <v>160000</v>
      </c>
      <c r="M49" s="16">
        <f t="shared" si="1"/>
        <v>7483000</v>
      </c>
    </row>
    <row r="50" spans="1:13" s="1" customFormat="1" ht="18" customHeight="1" x14ac:dyDescent="0.3">
      <c r="A50" s="12">
        <v>43</v>
      </c>
      <c r="B50" s="50">
        <v>43918</v>
      </c>
      <c r="C50" s="52" t="s">
        <v>139</v>
      </c>
      <c r="D50" s="53"/>
      <c r="E50" s="13" t="s">
        <v>129</v>
      </c>
      <c r="F50" s="54"/>
      <c r="G50" s="54"/>
      <c r="H50" s="54"/>
      <c r="I50" s="54">
        <v>270000</v>
      </c>
      <c r="J50" s="54"/>
      <c r="K50" s="54"/>
      <c r="L50" s="54">
        <f t="shared" si="0"/>
        <v>270000</v>
      </c>
      <c r="M50" s="16">
        <f t="shared" si="1"/>
        <v>7213000</v>
      </c>
    </row>
    <row r="51" spans="1:13" s="1" customFormat="1" ht="18" customHeight="1" x14ac:dyDescent="0.3">
      <c r="A51" s="12">
        <v>44</v>
      </c>
      <c r="B51" s="50">
        <v>43919</v>
      </c>
      <c r="C51" s="52" t="s">
        <v>113</v>
      </c>
      <c r="D51" s="53"/>
      <c r="E51" s="13" t="s">
        <v>130</v>
      </c>
      <c r="F51" s="54"/>
      <c r="G51" s="54"/>
      <c r="H51" s="54"/>
      <c r="I51" s="54">
        <v>500000</v>
      </c>
      <c r="J51" s="54"/>
      <c r="K51" s="54"/>
      <c r="L51" s="54">
        <f t="shared" si="0"/>
        <v>500000</v>
      </c>
      <c r="M51" s="16">
        <f t="shared" si="1"/>
        <v>6713000</v>
      </c>
    </row>
    <row r="52" spans="1:13" s="1" customFormat="1" ht="18" customHeight="1" x14ac:dyDescent="0.3">
      <c r="A52" s="12">
        <v>45</v>
      </c>
      <c r="B52" s="50">
        <v>43920</v>
      </c>
      <c r="C52" s="52" t="s">
        <v>112</v>
      </c>
      <c r="D52" s="53"/>
      <c r="E52" s="13" t="s">
        <v>135</v>
      </c>
      <c r="F52" s="54"/>
      <c r="G52" s="54">
        <v>2280000</v>
      </c>
      <c r="H52" s="54"/>
      <c r="I52" s="54"/>
      <c r="J52" s="54"/>
      <c r="K52" s="54"/>
      <c r="L52" s="54">
        <f t="shared" si="0"/>
        <v>2280000</v>
      </c>
      <c r="M52" s="16">
        <f t="shared" si="1"/>
        <v>4433000</v>
      </c>
    </row>
    <row r="53" spans="1:13" s="1" customFormat="1" ht="18" customHeight="1" thickBot="1" x14ac:dyDescent="0.35">
      <c r="A53" s="12">
        <v>46</v>
      </c>
      <c r="B53" s="50">
        <v>44012</v>
      </c>
      <c r="C53" s="14" t="s">
        <v>103</v>
      </c>
      <c r="D53" s="53"/>
      <c r="E53" s="13" t="s">
        <v>136</v>
      </c>
      <c r="F53" s="54"/>
      <c r="G53" s="54"/>
      <c r="H53" s="54"/>
      <c r="I53" s="54"/>
      <c r="J53" s="54">
        <v>2990000</v>
      </c>
      <c r="K53" s="54"/>
      <c r="L53" s="54">
        <f t="shared" si="0"/>
        <v>2990000</v>
      </c>
      <c r="M53" s="16">
        <f t="shared" si="1"/>
        <v>1443000</v>
      </c>
    </row>
    <row r="54" spans="1:13" s="1" customFormat="1" ht="18" customHeight="1" thickBot="1" x14ac:dyDescent="0.35">
      <c r="A54" s="70" t="s">
        <v>14</v>
      </c>
      <c r="B54" s="71"/>
      <c r="C54" s="71"/>
      <c r="D54" s="6"/>
      <c r="E54" s="6"/>
      <c r="F54" s="7">
        <f>SUM(F8:F53)</f>
        <v>9500000</v>
      </c>
      <c r="G54" s="7">
        <f>SUM(G8:G53)</f>
        <v>2470500</v>
      </c>
      <c r="H54" s="7">
        <f>SUM(H8:H53)</f>
        <v>0</v>
      </c>
      <c r="I54" s="7">
        <f>SUM(I8:I53)</f>
        <v>2596500</v>
      </c>
      <c r="J54" s="8">
        <f>SUM(J8:J53)</f>
        <v>2990000</v>
      </c>
      <c r="K54" s="8">
        <f>SUM(K8:K53)</f>
        <v>0</v>
      </c>
      <c r="L54" s="8">
        <f>SUM(L8:L53)</f>
        <v>8057000</v>
      </c>
      <c r="M54" s="9">
        <f>F54-L54</f>
        <v>1443000</v>
      </c>
    </row>
    <row r="55" spans="1:13" s="1" customFormat="1" ht="15.95" customHeight="1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3" t="s">
        <v>141</v>
      </c>
      <c r="L55" s="11"/>
      <c r="M55" s="51"/>
    </row>
    <row r="56" spans="1:13" s="1" customFormat="1" ht="15.95" customHeight="1" x14ac:dyDescent="0.3">
      <c r="A56" s="11"/>
      <c r="B56" s="11"/>
      <c r="C56" s="18" t="s">
        <v>42</v>
      </c>
      <c r="D56" s="18"/>
      <c r="E56" s="18"/>
      <c r="F56" s="18"/>
      <c r="G56" s="18"/>
      <c r="H56" s="18"/>
      <c r="I56" s="18"/>
      <c r="J56" s="18"/>
      <c r="K56" s="19" t="s">
        <v>39</v>
      </c>
      <c r="L56" s="2"/>
      <c r="M56" s="2"/>
    </row>
    <row r="57" spans="1:13" s="1" customFormat="1" ht="15.95" customHeight="1" x14ac:dyDescent="0.3">
      <c r="A57" s="11"/>
      <c r="B57" s="11"/>
      <c r="C57" s="18"/>
      <c r="D57" s="18"/>
      <c r="E57" s="18"/>
      <c r="F57" s="18"/>
      <c r="G57" s="18"/>
      <c r="H57" s="18"/>
      <c r="I57" s="18"/>
      <c r="J57" s="18"/>
      <c r="K57" s="19"/>
      <c r="L57" s="2"/>
      <c r="M57" s="2"/>
    </row>
    <row r="58" spans="1:13" s="1" customFormat="1" ht="15.95" customHeight="1" x14ac:dyDescent="0.3">
      <c r="A58" s="11"/>
      <c r="B58" s="11"/>
      <c r="C58" s="20" t="s">
        <v>131</v>
      </c>
      <c r="D58" s="21"/>
      <c r="E58" s="21"/>
      <c r="F58" s="21"/>
      <c r="G58" s="21"/>
      <c r="H58" s="21"/>
      <c r="I58" s="21"/>
      <c r="J58" s="18"/>
      <c r="K58" s="22" t="s">
        <v>132</v>
      </c>
      <c r="L58" s="2"/>
      <c r="M58" s="2"/>
    </row>
    <row r="59" spans="1:13" ht="12.75" customHeight="1" x14ac:dyDescent="0.2">
      <c r="F59" s="61" t="s">
        <v>106</v>
      </c>
      <c r="G59" s="61"/>
      <c r="H59" s="61"/>
      <c r="I59" s="61"/>
    </row>
    <row r="60" spans="1:13" ht="15" x14ac:dyDescent="0.2">
      <c r="G60" s="21"/>
    </row>
    <row r="61" spans="1:13" ht="15" x14ac:dyDescent="0.2">
      <c r="G61" s="21"/>
    </row>
    <row r="62" spans="1:13" ht="12.75" customHeight="1" x14ac:dyDescent="0.2">
      <c r="F62" s="62" t="s">
        <v>18</v>
      </c>
      <c r="G62" s="62"/>
      <c r="H62" s="62"/>
      <c r="I62" s="62"/>
    </row>
  </sheetData>
  <mergeCells count="14">
    <mergeCell ref="F59:I59"/>
    <mergeCell ref="F62:I62"/>
    <mergeCell ref="A1:M1"/>
    <mergeCell ref="A2:M2"/>
    <mergeCell ref="A4:M4"/>
    <mergeCell ref="M6:M7"/>
    <mergeCell ref="D6:E6"/>
    <mergeCell ref="A3:M3"/>
    <mergeCell ref="F6:F7"/>
    <mergeCell ref="A54:C54"/>
    <mergeCell ref="B6:B7"/>
    <mergeCell ref="G6:L6"/>
    <mergeCell ref="C6:C7"/>
    <mergeCell ref="A6:A7"/>
  </mergeCells>
  <phoneticPr fontId="3" type="noConversion"/>
  <printOptions horizontalCentered="1"/>
  <pageMargins left="0.39370078740157483" right="0.39370078740157483" top="0.98425196850393704" bottom="0.23622047244094491" header="0.51181102362204722" footer="0.51181102362204722"/>
  <pageSetup paperSize="256" orientation="landscape" horizontalDpi="4294967293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F16" sqref="F16"/>
    </sheetView>
  </sheetViews>
  <sheetFormatPr defaultRowHeight="12.75" x14ac:dyDescent="0.2"/>
  <cols>
    <col min="2" max="2" width="21.28515625" customWidth="1"/>
    <col min="5" max="6" width="17.140625" customWidth="1"/>
    <col min="7" max="7" width="22.28515625" customWidth="1"/>
  </cols>
  <sheetData>
    <row r="1" spans="1:7" ht="15.75" x14ac:dyDescent="0.25">
      <c r="A1" s="80" t="s">
        <v>50</v>
      </c>
      <c r="B1" s="80"/>
      <c r="C1" s="80"/>
      <c r="D1" s="80"/>
      <c r="E1" s="80"/>
      <c r="F1" s="80"/>
      <c r="G1" s="80"/>
    </row>
    <row r="2" spans="1:7" ht="15.75" x14ac:dyDescent="0.25">
      <c r="A2" s="58" t="s">
        <v>70</v>
      </c>
      <c r="B2" s="58"/>
      <c r="C2" s="58"/>
      <c r="D2" s="58"/>
      <c r="E2" s="58"/>
      <c r="F2" s="58"/>
      <c r="G2" s="58"/>
    </row>
    <row r="3" spans="1:7" ht="15.75" x14ac:dyDescent="0.25">
      <c r="A3" s="81" t="s">
        <v>51</v>
      </c>
      <c r="B3" s="81"/>
      <c r="C3" s="81"/>
      <c r="D3" s="81"/>
      <c r="E3" s="81"/>
      <c r="F3" s="81"/>
      <c r="G3" s="81"/>
    </row>
    <row r="4" spans="1:7" ht="15.75" x14ac:dyDescent="0.25">
      <c r="A4" s="80" t="s">
        <v>68</v>
      </c>
      <c r="B4" s="80"/>
      <c r="C4" s="80"/>
      <c r="D4" s="80"/>
      <c r="E4" s="80"/>
      <c r="F4" s="80"/>
      <c r="G4" s="80"/>
    </row>
    <row r="6" spans="1:7" ht="16.5" thickBot="1" x14ac:dyDescent="0.3">
      <c r="A6" s="23" t="s">
        <v>0</v>
      </c>
      <c r="B6" s="23" t="s">
        <v>52</v>
      </c>
      <c r="C6" s="23" t="s">
        <v>53</v>
      </c>
      <c r="D6" s="23" t="s">
        <v>54</v>
      </c>
      <c r="E6" s="23" t="s">
        <v>55</v>
      </c>
      <c r="F6" s="23" t="s">
        <v>65</v>
      </c>
      <c r="G6" s="23" t="s">
        <v>56</v>
      </c>
    </row>
    <row r="7" spans="1:7" ht="15.75" thickTop="1" x14ac:dyDescent="0.2">
      <c r="A7" s="24">
        <v>1</v>
      </c>
      <c r="B7" s="28" t="s">
        <v>57</v>
      </c>
      <c r="C7" s="24">
        <v>3</v>
      </c>
      <c r="D7" s="24">
        <v>2</v>
      </c>
      <c r="E7" s="25">
        <v>40000</v>
      </c>
      <c r="F7" s="25"/>
      <c r="G7" s="26">
        <f>C7*D7*E7+F7</f>
        <v>240000</v>
      </c>
    </row>
    <row r="8" spans="1:7" ht="15" x14ac:dyDescent="0.2">
      <c r="A8" s="27">
        <v>2</v>
      </c>
      <c r="B8" s="28" t="s">
        <v>58</v>
      </c>
      <c r="C8" s="27">
        <v>3</v>
      </c>
      <c r="D8" s="27">
        <v>2</v>
      </c>
      <c r="E8" s="29">
        <v>40000</v>
      </c>
      <c r="F8" s="29"/>
      <c r="G8" s="26">
        <f t="shared" ref="G8:G16" si="0">C8*D8*E8+F8</f>
        <v>240000</v>
      </c>
    </row>
    <row r="9" spans="1:7" ht="15" x14ac:dyDescent="0.2">
      <c r="A9" s="27">
        <v>3</v>
      </c>
      <c r="B9" s="28" t="s">
        <v>59</v>
      </c>
      <c r="C9" s="27">
        <v>6</v>
      </c>
      <c r="D9" s="27">
        <v>1</v>
      </c>
      <c r="E9" s="29">
        <v>40000</v>
      </c>
      <c r="F9" s="29">
        <v>40000</v>
      </c>
      <c r="G9" s="26">
        <f t="shared" si="0"/>
        <v>280000</v>
      </c>
    </row>
    <row r="10" spans="1:7" ht="15" x14ac:dyDescent="0.2">
      <c r="A10" s="27">
        <v>4</v>
      </c>
      <c r="B10" s="28" t="s">
        <v>60</v>
      </c>
      <c r="C10" s="27">
        <v>6</v>
      </c>
      <c r="D10" s="27">
        <v>1</v>
      </c>
      <c r="E10" s="29">
        <v>40000</v>
      </c>
      <c r="F10" s="29">
        <v>40000</v>
      </c>
      <c r="G10" s="26">
        <f t="shared" si="0"/>
        <v>280000</v>
      </c>
    </row>
    <row r="11" spans="1:7" ht="15" x14ac:dyDescent="0.2">
      <c r="A11" s="27">
        <v>5</v>
      </c>
      <c r="B11" s="28" t="s">
        <v>104</v>
      </c>
      <c r="C11" s="27">
        <v>6</v>
      </c>
      <c r="D11" s="27">
        <v>1</v>
      </c>
      <c r="E11" s="29">
        <v>40000</v>
      </c>
      <c r="F11" s="29"/>
      <c r="G11" s="26">
        <f t="shared" si="0"/>
        <v>240000</v>
      </c>
    </row>
    <row r="12" spans="1:7" ht="15" x14ac:dyDescent="0.2">
      <c r="A12" s="27">
        <v>6</v>
      </c>
      <c r="B12" s="28" t="s">
        <v>61</v>
      </c>
      <c r="C12" s="27">
        <v>6</v>
      </c>
      <c r="D12" s="27">
        <v>1</v>
      </c>
      <c r="E12" s="29">
        <v>40000</v>
      </c>
      <c r="F12" s="29"/>
      <c r="G12" s="26">
        <f t="shared" si="0"/>
        <v>240000</v>
      </c>
    </row>
    <row r="13" spans="1:7" ht="15" x14ac:dyDescent="0.2">
      <c r="A13" s="27">
        <v>7</v>
      </c>
      <c r="B13" s="28" t="s">
        <v>62</v>
      </c>
      <c r="C13" s="27">
        <v>3</v>
      </c>
      <c r="D13" s="27">
        <v>2</v>
      </c>
      <c r="E13" s="29">
        <v>40000</v>
      </c>
      <c r="F13" s="29"/>
      <c r="G13" s="26">
        <f t="shared" si="0"/>
        <v>240000</v>
      </c>
    </row>
    <row r="14" spans="1:7" ht="15" x14ac:dyDescent="0.2">
      <c r="A14" s="27">
        <v>8</v>
      </c>
      <c r="B14" s="28" t="s">
        <v>62</v>
      </c>
      <c r="C14" s="27">
        <v>3</v>
      </c>
      <c r="D14" s="27">
        <v>1</v>
      </c>
      <c r="E14" s="29">
        <v>40000</v>
      </c>
      <c r="F14" s="29"/>
      <c r="G14" s="26">
        <f t="shared" si="0"/>
        <v>120000</v>
      </c>
    </row>
    <row r="15" spans="1:7" ht="15" x14ac:dyDescent="0.2">
      <c r="A15" s="27">
        <v>9</v>
      </c>
      <c r="B15" s="28" t="s">
        <v>63</v>
      </c>
      <c r="C15" s="27">
        <v>9</v>
      </c>
      <c r="D15" s="27">
        <v>1</v>
      </c>
      <c r="E15" s="29">
        <v>50000</v>
      </c>
      <c r="F15" s="29">
        <v>75000</v>
      </c>
      <c r="G15" s="26">
        <f t="shared" si="0"/>
        <v>525000</v>
      </c>
    </row>
    <row r="16" spans="1:7" ht="15" x14ac:dyDescent="0.2">
      <c r="A16" s="27">
        <v>10</v>
      </c>
      <c r="B16" s="28"/>
      <c r="C16" s="27"/>
      <c r="D16" s="27"/>
      <c r="E16" s="29"/>
      <c r="F16" s="29"/>
      <c r="G16" s="26">
        <f t="shared" si="0"/>
        <v>0</v>
      </c>
    </row>
    <row r="17" spans="1:7" ht="15.75" x14ac:dyDescent="0.25">
      <c r="A17" s="27"/>
      <c r="B17" s="82" t="s">
        <v>14</v>
      </c>
      <c r="C17" s="83"/>
      <c r="D17" s="83"/>
      <c r="E17" s="84"/>
      <c r="F17" s="31"/>
      <c r="G17" s="30">
        <f>SUM(G7:G15)</f>
        <v>2405000</v>
      </c>
    </row>
    <row r="19" spans="1:7" ht="15" x14ac:dyDescent="0.2">
      <c r="B19" s="18"/>
      <c r="E19" s="3"/>
      <c r="F19" s="3"/>
      <c r="G19" s="3"/>
    </row>
    <row r="20" spans="1:7" ht="15" x14ac:dyDescent="0.2">
      <c r="B20" s="18" t="s">
        <v>42</v>
      </c>
      <c r="E20" s="19"/>
      <c r="F20" s="19"/>
      <c r="G20" s="19" t="s">
        <v>39</v>
      </c>
    </row>
    <row r="21" spans="1:7" ht="15" x14ac:dyDescent="0.2">
      <c r="B21" s="18"/>
      <c r="E21" s="19"/>
      <c r="F21" s="19"/>
      <c r="G21" s="19"/>
    </row>
    <row r="22" spans="1:7" ht="15" x14ac:dyDescent="0.2">
      <c r="B22" s="18"/>
      <c r="E22" s="19"/>
      <c r="F22" s="19"/>
      <c r="G22" s="19"/>
    </row>
    <row r="23" spans="1:7" ht="15" x14ac:dyDescent="0.2">
      <c r="B23" s="20" t="s">
        <v>71</v>
      </c>
      <c r="E23" s="22"/>
      <c r="F23" s="22"/>
      <c r="G23" s="22" t="s">
        <v>72</v>
      </c>
    </row>
    <row r="24" spans="1:7" ht="15" x14ac:dyDescent="0.2">
      <c r="B24" s="61" t="s">
        <v>44</v>
      </c>
      <c r="C24" s="61"/>
      <c r="D24" s="61"/>
      <c r="E24" s="61"/>
      <c r="F24" s="61"/>
      <c r="G24" s="61"/>
    </row>
    <row r="25" spans="1:7" ht="15" x14ac:dyDescent="0.2">
      <c r="B25" s="61" t="s">
        <v>43</v>
      </c>
      <c r="C25" s="61"/>
      <c r="D25" s="61"/>
      <c r="E25" s="61"/>
      <c r="F25" s="61"/>
      <c r="G25" s="61"/>
    </row>
    <row r="26" spans="1:7" ht="15" x14ac:dyDescent="0.2">
      <c r="C26" s="21"/>
      <c r="D26" s="21"/>
      <c r="E26" s="21"/>
      <c r="F26" s="21"/>
      <c r="G26" s="21"/>
    </row>
    <row r="27" spans="1:7" ht="15" x14ac:dyDescent="0.2">
      <c r="C27" s="21"/>
      <c r="D27" s="21"/>
      <c r="E27" s="21"/>
      <c r="F27" s="21"/>
      <c r="G27" s="21"/>
    </row>
    <row r="28" spans="1:7" ht="15" x14ac:dyDescent="0.2">
      <c r="C28" s="21"/>
      <c r="D28" s="21"/>
      <c r="E28" s="21"/>
      <c r="F28" s="21"/>
      <c r="G28" s="21"/>
    </row>
    <row r="29" spans="1:7" ht="15" x14ac:dyDescent="0.2">
      <c r="B29" s="62" t="s">
        <v>18</v>
      </c>
      <c r="C29" s="62"/>
      <c r="D29" s="62"/>
      <c r="E29" s="62"/>
      <c r="F29" s="62"/>
      <c r="G29" s="62"/>
    </row>
  </sheetData>
  <mergeCells count="8">
    <mergeCell ref="B25:G25"/>
    <mergeCell ref="B29:G29"/>
    <mergeCell ref="A1:G1"/>
    <mergeCell ref="A2:G2"/>
    <mergeCell ref="A3:G3"/>
    <mergeCell ref="A4:G4"/>
    <mergeCell ref="B17:E17"/>
    <mergeCell ref="B24:G24"/>
  </mergeCells>
  <pageMargins left="0.23622047244094491" right="0.19685039370078741" top="0.74803149606299213" bottom="0.74803149606299213" header="0.31496062992125984" footer="0.31496062992125984"/>
  <pageSetup paperSize="9" scale="94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Lap.Pemb.</vt:lpstr>
      <vt:lpstr>Sheet2</vt:lpstr>
      <vt:lpstr>Lap.Pemb.!Print_Area</vt:lpstr>
      <vt:lpstr>Sheet1!Print_Area</vt:lpstr>
      <vt:lpstr>Sheet2!Print_Area</vt:lpstr>
    </vt:vector>
  </TitlesOfParts>
  <Company>Sukorejo Situbondo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MASS</dc:creator>
  <cp:lastModifiedBy>Setting</cp:lastModifiedBy>
  <cp:lastPrinted>2021-02-01T10:09:58Z</cp:lastPrinted>
  <dcterms:created xsi:type="dcterms:W3CDTF">2003-10-19T03:23:23Z</dcterms:created>
  <dcterms:modified xsi:type="dcterms:W3CDTF">2021-02-01T10:10:07Z</dcterms:modified>
</cp:coreProperties>
</file>